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Seller_Guardrail" sheetId="3" state="visible" r:id="rId5"/>
    <sheet name="Breakeven" sheetId="4" state="visible" r:id="rId6"/>
    <sheet name="Prices" sheetId="5" state="visible" r:id="rId7"/>
    <sheet name="Tasks" sheetId="6" state="visible" r:id="rId8"/>
    <sheet name="Quality" sheetId="7" state="visible" r:id="rId9"/>
    <sheet name="Calc"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<sst xmlns="http://schemas.openxmlformats.org/spreadsheetml/2006/main" count="236" uniqueCount="194">
  <si>
    <t xml:space="preserve">LLM API cost and value model (illustrative exercise, public list prices)</t>
  </si>
  <si>
    <t xml:space="preserve">Purpose</t>
  </si>
  <si>
    <t xml:space="preserve">Compare cost per task and value across nine LLM API models (three providers x small / mid / flagship tier), then show where the cheapest model is NOT the best-value model once quality and rework are included.</t>
  </si>
  <si>
    <t xml:space="preserve">Status</t>
  </si>
  <si>
    <t xml:space="preserve">ILLUSTRATIVE. Prices are public list prices read from each provider's official pricing page on 20 Oct 2026. Token counts, volumes, rework costs and ALL success rates are placeholder assumptions, not measurements. This is not real deal experience, and list prices are not negotiated prices.</t>
  </si>
  <si>
    <t xml:space="preserve">Core idea</t>
  </si>
  <si>
    <t xml:space="preserve">Cost per task = tokens x price, adjusted for caching and batch. Value = what you actually pay per GOOD outcome: expected cost per task = API cost + (1 - success rate) x rework cost. A cheap model that fails often can cost more overall than an expensive one.</t>
  </si>
  <si>
    <t xml:space="preserve">Colour legend</t>
  </si>
  <si>
    <t xml:space="preserve">Blue text = hardcoded input you can change. Black = formula. Green = link to another sheet. Yellow fill = key assumption to replace with real evidence (success rates, price-basis switch).</t>
  </si>
  <si>
    <t xml:space="preserve">How to use</t>
  </si>
  <si>
    <t xml:space="preserve">1) Prices: check the numbers and the post-promo switch (B3). 2) Tasks: edit the three example tasks to match your workload. 3) Quality: replace the placeholder success rates with pilot results. 4) Read Summary.</t>
  </si>
  <si>
    <t xml:space="preserve">Getting real numbers cheaply</t>
  </si>
  <si>
    <t xml:space="preserve">Token counts: use each provider's token-counting tool on a sample of real inputs (free or near-free) instead of guessing. Success rates: run 30-50 real samples per task per model (small models cost cents), grade each against a written acceptance rubric, record the share that pass. Output tokens: measure on the pilot, since reasoning models can produce many more output tokens than the visible answer.</t>
  </si>
  <si>
    <t xml:space="preserve">Placeholder success rates</t>
  </si>
  <si>
    <t xml:space="preserve">Set equal for every provider within a tier, so no provider is favoured by the placeholders. Differences between providers only appear once you replace them with measured results.</t>
  </si>
  <si>
    <t xml:space="preserve">Simplifications</t>
  </si>
  <si>
    <t xml:space="preserve">Cache write cost uses a multiplier on input price (Anthropic 1.25x for 5-minute cache; OpenAI cache-write rate is 1.25x input). Google Flash storage fees per hour are ignored. Cache misses pay the write multiplier. Batch = flat discount from Prices!N and stacks with caching (per provider docs). Prompts assumed under 100k tokens (Haiku 5.5 charges more above that). Tokenizer and reasoning-token differences default to 1.0x and should be measured.</t>
  </si>
  <si>
    <t xml:space="preserve">Price-change risk</t>
  </si>
  <si>
    <t xml:space="preserve">Google's Gemini 4 Argon (to 30 Nov 2026) and Gemini 3.8 Flash (to 31 Dec 2026) list promotional prices that double afterwards. Switch Prices!B3 to Y to see the effect. A real deal would address this with price protection or a committed rate.</t>
  </si>
  <si>
    <t xml:space="preserve">Sources</t>
  </si>
  <si>
    <t xml:space="preserve">Anthropic: platform.claude.com/docs/en/about-claude/pricing | OpenAI: developers.openai.com/api/docs/pricing | Google: ai.google.dev/gemini-api/docs/pricing (all read 20 Oct 2026). Verify before relying on any figure.</t>
  </si>
  <si>
    <t xml:space="preserve">Seller-side sheets</t>
  </si>
  <si>
    <t xml:space="preserve">Seller_Guardrail turns a margin scenario and a margin floor into discount limits (rep / manager / finance) and tests them on 12 simulated deals. Breakeven shows, per task, the rework cost at which a higher model tier pays for itself.</t>
  </si>
  <si>
    <t xml:space="preserve">Margin caveat</t>
  </si>
  <si>
    <t xml:space="preserve">Gross margin scenarios (40/60/80%) are placeholders. Public estimates for AI vendors vary widely and depend on definition. No provider publishes per-model or per-deal margins. A deal-level margin guardrail is not a statement about any company's overall profit.</t>
  </si>
  <si>
    <t xml:space="preserve">Summary: cheapest model vs best-value model per task</t>
  </si>
  <si>
    <t xml:space="preserve">ILLUSTRATIVE. Driven by placeholder success rates and rework costs (see Quality and Tasks). Replace with measured data before drawing any conclusion.</t>
  </si>
  <si>
    <t xml:space="preserve">Task</t>
  </si>
  <si>
    <t xml:space="preserve">Cheapest model by API cost (ignores quality)</t>
  </si>
  <si>
    <t xml:space="preserve">Its API cost / task</t>
  </si>
  <si>
    <t xml:space="preserve">Its success rate</t>
  </si>
  <si>
    <t xml:space="preserve">Its expected total cost / task</t>
  </si>
  <si>
    <t xml:space="preserve">Best-value model (meets required rate, lowest expected total cost)</t>
  </si>
  <si>
    <t xml:space="preserve">Monthly volume</t>
  </si>
  <si>
    <t xml:space="preserve">Monthly expected cost: cheapest</t>
  </si>
  <si>
    <t xml:space="preserve">Monthly expected cost: best value</t>
  </si>
  <si>
    <t xml:space="preserve">Monthly difference (cheapest minus best value)</t>
  </si>
  <si>
    <t xml:space="preserve">Same model?</t>
  </si>
  <si>
    <t xml:space="preserve">Reading it: where 'Same model?' is No, the cheapest model on API cost is not the best value once failed outputs are priced in. A positive monthly difference means the best-value choice saves money overall despite a higher API bill.</t>
  </si>
  <si>
    <t xml:space="preserve">Not modelled: output quality beyond pass/fail, latency, rate limits, support terms, data residency premium (+10% on some providers), negotiated discounts, and price changes after the promo periods unless Prices!B3 is set to Y.</t>
  </si>
  <si>
    <t xml:space="preserve">Seller-side: discount limits and approval guardrail (ILLUSTRATIVE)</t>
  </si>
  <si>
    <t xml:space="preserve">Gross margins are scenario assumptions, not company data: public estimates for AI vendors vary widely with how gross margin is defined. Deals are simulated. This is a deal-level (gross margin) guardrail; it says nothing about a company's overall profit.</t>
  </si>
  <si>
    <t xml:space="preserve">Selected scenario</t>
  </si>
  <si>
    <t xml:space="preserve">Base</t>
  </si>
  <si>
    <t xml:space="preserve">Parameter</t>
  </si>
  <si>
    <t xml:space="preserve">Low</t>
  </si>
  <si>
    <t xml:space="preserve">High</t>
  </si>
  <si>
    <t xml:space="preserve">Selected</t>
  </si>
  <si>
    <t xml:space="preserve">Notes</t>
  </si>
  <si>
    <t xml:space="preserve">Gross margin before discount (assumption)</t>
  </si>
  <si>
    <t xml:space="preserve">Placeholder scenarios, not company figures.</t>
  </si>
  <si>
    <t xml:space="preserve">Gross margin floor after discount</t>
  </si>
  <si>
    <t xml:space="preserve">Lowest gross margin you accept on any deal. Set once in B8.</t>
  </si>
  <si>
    <t xml:space="preserve">Max discount before breaching the floor</t>
  </si>
  <si>
    <t xml:space="preserve">d = 1 - (1 - margin) / (1 - floor). Cost is fixed, price falls with discount.</t>
  </si>
  <si>
    <t xml:space="preserve">Rep authority (share of max discount)</t>
  </si>
  <si>
    <t xml:space="preserve">Design choice: the trade-off between speed and margin protection.</t>
  </si>
  <si>
    <t xml:space="preserve">Manager authority (share of max discount)</t>
  </si>
  <si>
    <t xml:space="preserve">Rounding step for limits</t>
  </si>
  <si>
    <t xml:space="preserve">Rep can approve up to</t>
  </si>
  <si>
    <t xml:space="preserve">Limits shift with the margin scenario: check the guardrail holds under Low.</t>
  </si>
  <si>
    <t xml:space="preserve">Manager can approve up to</t>
  </si>
  <si>
    <t xml:space="preserve">Finance can approve up to (above this = exception)</t>
  </si>
  <si>
    <t xml:space="preserve">Simulated deals (hypothetical, not real customers)</t>
  </si>
  <si>
    <t xml:space="preserve">Deal ID</t>
  </si>
  <si>
    <t xml:space="preserve">Monthly list spend ($)</t>
  </si>
  <si>
    <t xml:space="preserve">Term (months)</t>
  </si>
  <si>
    <t xml:space="preserve">Requested discount</t>
  </si>
  <si>
    <t xml:space="preserve">List TCV ($)</t>
  </si>
  <si>
    <t xml:space="preserve">Net TCV ($)</t>
  </si>
  <si>
    <t xml:space="preserve">Discount given ($)</t>
  </si>
  <si>
    <t xml:space="preserve">Gross margin after discount</t>
  </si>
  <si>
    <t xml:space="preserve">Gross profit over term ($)</t>
  </si>
  <si>
    <t xml:space="preserve">Approval needed</t>
  </si>
  <si>
    <t xml:space="preserve">Below margin floor?</t>
  </si>
  <si>
    <t xml:space="preserve">D01</t>
  </si>
  <si>
    <t xml:space="preserve">D02</t>
  </si>
  <si>
    <t xml:space="preserve">D03</t>
  </si>
  <si>
    <t xml:space="preserve">D04</t>
  </si>
  <si>
    <t xml:space="preserve">D05</t>
  </si>
  <si>
    <t xml:space="preserve">D06</t>
  </si>
  <si>
    <t xml:space="preserve">D07</t>
  </si>
  <si>
    <t xml:space="preserve">D08</t>
  </si>
  <si>
    <t xml:space="preserve">D09</t>
  </si>
  <si>
    <t xml:space="preserve">D10</t>
  </si>
  <si>
    <t xml:space="preserve">D11</t>
  </si>
  <si>
    <t xml:space="preserve">D12</t>
  </si>
  <si>
    <t xml:space="preserve">Approval load and margin protected (selected scenario)</t>
  </si>
  <si>
    <t xml:space="preserve">Approval level</t>
  </si>
  <si>
    <t xml:space="preserve">Deals</t>
  </si>
  <si>
    <t xml:space="preserve">Share of deals</t>
  </si>
  <si>
    <t xml:space="preserve">Blended gross margin</t>
  </si>
  <si>
    <t xml:space="preserve">Rep</t>
  </si>
  <si>
    <t xml:space="preserve">Manager</t>
  </si>
  <si>
    <t xml:space="preserve">Finance</t>
  </si>
  <si>
    <t xml:space="preserve">Exception (below floor)</t>
  </si>
  <si>
    <t xml:space="preserve">Total</t>
  </si>
  <si>
    <t xml:space="preserve">Reading it: a tighter guardrail (lower limits) sends more deals to managers and finance, which protects margin but adds delay. A looser one speeds deals up but risks margin. Flip B4 to Low to test the stricter case.</t>
  </si>
  <si>
    <t xml:space="preserve">Buyer-side break-even: when does a higher tier pay for itself? (ILLUSTRATIVE)</t>
  </si>
  <si>
    <t xml:space="preserve">Tier averages across the three providers, so no provider is favoured. Break-even rework cost = extra API cost / success-rate gain. If your real rework cost per failed task is above this, the higher tier is cheaper overall. Success rates are placeholders.</t>
  </si>
  <si>
    <t xml:space="preserve">From tier</t>
  </si>
  <si>
    <t xml:space="preserve">To tier</t>
  </si>
  <si>
    <t xml:space="preserve">Avg API cost / task (from)</t>
  </si>
  <si>
    <t xml:space="preserve">Avg API cost / task (to)</t>
  </si>
  <si>
    <t xml:space="preserve">Avg success (from)</t>
  </si>
  <si>
    <t xml:space="preserve">Avg success (to)</t>
  </si>
  <si>
    <t xml:space="preserve">Success gain</t>
  </si>
  <si>
    <t xml:space="preserve">Extra API cost / task</t>
  </si>
  <si>
    <t xml:space="preserve">Break-even rework cost ($)</t>
  </si>
  <si>
    <t xml:space="preserve">Assumed rework cost ($)</t>
  </si>
  <si>
    <t xml:space="preserve">Does the higher tier pay off?</t>
  </si>
  <si>
    <t xml:space="preserve">Small</t>
  </si>
  <si>
    <t xml:space="preserve">Mid</t>
  </si>
  <si>
    <t xml:space="preserve">Flagship</t>
  </si>
  <si>
    <t xml:space="preserve">List prices, USD per 1M tokens (read 20 Oct 2026)</t>
  </si>
  <si>
    <t xml:space="preserve">Use post-promo prices? (Y/N)</t>
  </si>
  <si>
    <t xml:space="preserve">N</t>
  </si>
  <si>
    <t xml:space="preserve">Y applies the higher prices Google has announced for after its promotional periods.</t>
  </si>
  <si>
    <t xml:space="preserve">Provider</t>
  </si>
  <si>
    <t xml:space="preserve">Tier</t>
  </si>
  <si>
    <t xml:space="preserve">Model</t>
  </si>
  <si>
    <t xml:space="preserve">Current input</t>
  </si>
  <si>
    <t xml:space="preserve">Current output</t>
  </si>
  <si>
    <t xml:space="preserve">Current cached-read</t>
  </si>
  <si>
    <t xml:space="preserve">Post-promo input</t>
  </si>
  <si>
    <t xml:space="preserve">Post-promo output</t>
  </si>
  <si>
    <t xml:space="preserve">Post-promo cached-read</t>
  </si>
  <si>
    <t xml:space="preserve">Effective input</t>
  </si>
  <si>
    <t xml:space="preserve">Effective output</t>
  </si>
  <si>
    <t xml:space="preserve">Effective cached-read</t>
  </si>
  <si>
    <t xml:space="preserve">Cache write multiplier (x input)</t>
  </si>
  <si>
    <t xml:space="preserve">Batch discount</t>
  </si>
  <si>
    <t xml:space="preserve">Tokenizer multiplier</t>
  </si>
  <si>
    <t xml:space="preserve">Output (reasoning) multiplier</t>
  </si>
  <si>
    <t xml:space="preserve">Source / notes</t>
  </si>
  <si>
    <t xml:space="preserve">Anthropic</t>
  </si>
  <si>
    <t xml:space="preserve">Claude Haiku 5.5</t>
  </si>
  <si>
    <t xml:space="preserve">Anthropic pricing page. Prompts up to 100k tokens; 5-min cache write 1.25x.</t>
  </si>
  <si>
    <t xml:space="preserve">Claude Sonnet 5.5</t>
  </si>
  <si>
    <t xml:space="preserve">Anthropic pricing page. Cache hit 0.05x input.</t>
  </si>
  <si>
    <t xml:space="preserve">Claude Fable 5.1</t>
  </si>
  <si>
    <t xml:space="preserve">Anthropic pricing page. Cache hit 0.025x input. Opus 5.5 ($4/$20) not modelled.</t>
  </si>
  <si>
    <t xml:space="preserve">OpenAI</t>
  </si>
  <si>
    <t xml:space="preserve">gpt-6-luna</t>
  </si>
  <si>
    <t xml:space="preserve">OpenAI pricing page, short-context rates. Cache write $0.125.</t>
  </si>
  <si>
    <t xml:space="preserve">gpt-6.1-sol</t>
  </si>
  <si>
    <t xml:space="preserve">OpenAI pricing page, short-context rates. Cache write $2.50.</t>
  </si>
  <si>
    <t xml:space="preserve">gpt-6-astra</t>
  </si>
  <si>
    <t xml:space="preserve">OpenAI pricing page, short-context rates. Cache write $12.50.</t>
  </si>
  <si>
    <t xml:space="preserve">Google</t>
  </si>
  <si>
    <t xml:space="preserve">Gemini 3.5 Flash-Lite</t>
  </si>
  <si>
    <t xml:space="preserve">Google pricing page. Storage fee ($1/M tokens/hour) ignored.</t>
  </si>
  <si>
    <t xml:space="preserve">Gemini 3.8 Flash</t>
  </si>
  <si>
    <t xml:space="preserve">Google pricing page. Promo to 31 Dec 2026, doubles from 1 Jan 2027. Storage fee ($0.50/M tokens/hour) ignored.</t>
  </si>
  <si>
    <t xml:space="preserve">Gemini 4 Argon</t>
  </si>
  <si>
    <t xml:space="preserve">Google pricing page. Promo to 30 Nov 2026, doubles from 1 Dec 2026. Implicit caching only.</t>
  </si>
  <si>
    <t xml:space="preserve">Tokenizer and output multipliers default to 1.0x (yellow). Measure them on your own samples; Anthropic notes its newer tokenizer produces ~30% more tokens than its older one, but the cross-provider difference is not published.</t>
  </si>
  <si>
    <t xml:space="preserve">Example tasks (placeholder assumptions: replace with your own workload)</t>
  </si>
  <si>
    <t xml:space="preserve">Description</t>
  </si>
  <si>
    <t xml:space="preserve">Input tokens per task</t>
  </si>
  <si>
    <t xml:space="preserve">Output tokens per task</t>
  </si>
  <si>
    <t xml:space="preserve">Cacheable share of input</t>
  </si>
  <si>
    <t xml:space="preserve">Cache hit rate on cacheable part</t>
  </si>
  <si>
    <t xml:space="preserve">Monthly volume (tasks)</t>
  </si>
  <si>
    <t xml:space="preserve">Batch allowed? (Y/N)</t>
  </si>
  <si>
    <t xml:space="preserve">Rework cost per failed task ($)</t>
  </si>
  <si>
    <t xml:space="preserve">Required success rate</t>
  </si>
  <si>
    <t xml:space="preserve">T1 Support triage</t>
  </si>
  <si>
    <t xml:space="preserve">Classify a customer message and draft a reply; real-time, repeated policy prompt.</t>
  </si>
  <si>
    <t xml:space="preserve">T2 Document summary</t>
  </si>
  <si>
    <t xml:space="preserve">Summarise a long document overnight; batch is acceptable.</t>
  </si>
  <si>
    <t xml:space="preserve">Y</t>
  </si>
  <si>
    <t xml:space="preserve">T3 Complex analysis</t>
  </si>
  <si>
    <t xml:space="preserve">Multi-step analysis or coding task with large shared context; interactive.</t>
  </si>
  <si>
    <t xml:space="preserve">Rework cost = what a failed output costs you (human fix, redo, customer impact). It is the most influential assumption for value: test a low and a high figure.</t>
  </si>
  <si>
    <t xml:space="preserve">Required success rate = the minimum share of outputs that must pass your acceptance rubric. Models below it are excluded from 'best value'.</t>
  </si>
  <si>
    <t xml:space="preserve">Success rate by model and task (PLACEHOLDERS: replace with pilot results)</t>
  </si>
  <si>
    <t xml:space="preserve">Success rate = share of outputs that meet your written acceptance rubric. Values below are illustrative and identical across providers within a tier; they are not benchmark results.</t>
  </si>
  <si>
    <t xml:space="preserve">Cost and value per task (all formulas)</t>
  </si>
  <si>
    <t xml:space="preserve">Costs in USD. Batch+Cache = cached cost x (1 - batch discount). Cheapest feasible respects the task's 'Batch allowed?' flag.</t>
  </si>
  <si>
    <t xml:space="preserve">Input tokens (adj.)</t>
  </si>
  <si>
    <t xml:space="preserve">Output tokens (adj.)</t>
  </si>
  <si>
    <t xml:space="preserve">List cost / task</t>
  </si>
  <si>
    <t xml:space="preserve">Cached cost / task</t>
  </si>
  <si>
    <t xml:space="preserve">Batch cost / task</t>
  </si>
  <si>
    <t xml:space="preserve">Batch + cached / task</t>
  </si>
  <si>
    <t xml:space="preserve">Cheapest feasible API cost / task</t>
  </si>
  <si>
    <t xml:space="preserve">Success rate</t>
  </si>
  <si>
    <t xml:space="preserve">Meets required rate?</t>
  </si>
  <si>
    <t xml:space="preserve">API cost per successful task</t>
  </si>
  <si>
    <t xml:space="preserve">Expected total cost / task (incl. rework)</t>
  </si>
  <si>
    <t xml:space="preserve">Helper: value rank (excludes failing models)</t>
  </si>
  <si>
    <t xml:space="preserve">Monthly API cost</t>
  </si>
  <si>
    <t xml:space="preserve">Monthly expected total cost</t>
  </si>
</sst>
</file>

<file path=xl/styles.xml><?xml version="1.0" encoding="utf-8"?>
<styleSheet xmlns="http://schemas.openxmlformats.org/spreadsheetml/2006/main">
  <numFmts count="15">
    <numFmt numFmtId="164" formatCode="General"/>
    <numFmt numFmtId="165" formatCode="\$0.0000"/>
    <numFmt numFmtId="166" formatCode="0%"/>
    <numFmt numFmtId="167" formatCode="#,##0"/>
    <numFmt numFmtId="168" formatCode="\$#,##0"/>
    <numFmt numFmtId="169" formatCode="\$#,##0;&quot;($&quot;#,##0\);\-"/>
    <numFmt numFmtId="170" formatCode="0.0%"/>
    <numFmt numFmtId="171" formatCode="\$#,##0"/>
    <numFmt numFmtId="172" formatCode="0"/>
    <numFmt numFmtId="173" formatCode="\$0.0000"/>
    <numFmt numFmtId="174" formatCode="\$#,##0.00"/>
    <numFmt numFmtId="175" formatCode="\$0.000"/>
    <numFmt numFmtId="176" formatCode="0.00\x"/>
    <numFmt numFmtId="177" formatCode="\$#,##0.00"/>
    <numFmt numFmtId="178" formatCode="\$#,##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color rgb="FF000000"/>
      <name val="Arial"/>
      <family val="0"/>
      <charset val="1"/>
    </font>
    <font>
      <sz val="10"/>
      <name val="Arial"/>
      <family val="0"/>
      <charset val="1"/>
    </font>
    <font>
      <i val="true"/>
      <sz val="9"/>
      <color rgb="FF595959"/>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5" fontId="11" fillId="0" borderId="1" xfId="0" applyFont="true" applyBorder="true" applyAlignment="true" applyProtection="false">
      <alignment horizontal="general" vertical="bottom" textRotation="0" wrapText="false" indent="0" shrinkToFit="false"/>
      <protection locked="true" hidden="false"/>
    </xf>
    <xf numFmtId="175" fontId="6" fillId="0" borderId="1" xfId="0" applyFont="true" applyBorder="true" applyAlignment="true" applyProtection="false">
      <alignment horizontal="general" vertical="bottom" textRotation="0" wrapText="false" indent="0" shrinkToFit="false"/>
      <protection locked="true" hidden="false"/>
    </xf>
    <xf numFmtId="176" fontId="11"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76" fontId="11" fillId="3"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77" fontId="11" fillId="3" borderId="1" xfId="0" applyFont="true" applyBorder="true" applyAlignment="true" applyProtection="false">
      <alignment horizontal="general" vertical="bottom" textRotation="0" wrapText="fals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78" fontId="6"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7.25" hidden="false" customHeight="true" outlineLevel="0" collapsed="false">
      <c r="A1" s="2" t="s">
        <v>0</v>
      </c>
    </row>
    <row r="3" customFormat="false" ht="45" hidden="false" customHeight="true" outlineLevel="0" collapsed="false">
      <c r="A3" s="3" t="s">
        <v>1</v>
      </c>
      <c r="B3" s="4" t="s">
        <v>2</v>
      </c>
    </row>
    <row r="4" customFormat="false" ht="60" hidden="false" customHeight="true" outlineLevel="0" collapsed="false">
      <c r="A4" s="3" t="s">
        <v>3</v>
      </c>
      <c r="B4" s="4" t="s">
        <v>4</v>
      </c>
    </row>
    <row r="5" customFormat="false" ht="45" hidden="false" customHeight="true" outlineLevel="0" collapsed="false">
      <c r="A5" s="3" t="s">
        <v>5</v>
      </c>
      <c r="B5" s="4" t="s">
        <v>6</v>
      </c>
    </row>
    <row r="6" customFormat="false" ht="30" hidden="false" customHeight="true" outlineLevel="0" collapsed="false">
      <c r="A6" s="3" t="s">
        <v>7</v>
      </c>
      <c r="B6" s="4" t="s">
        <v>8</v>
      </c>
    </row>
    <row r="7" customFormat="false" ht="45" hidden="false" customHeight="true" outlineLevel="0" collapsed="false">
      <c r="A7" s="3" t="s">
        <v>9</v>
      </c>
      <c r="B7" s="4" t="s">
        <v>10</v>
      </c>
    </row>
    <row r="8" customFormat="false" ht="75" hidden="false" customHeight="true" outlineLevel="0" collapsed="false">
      <c r="A8" s="3" t="s">
        <v>11</v>
      </c>
      <c r="B8" s="4" t="s">
        <v>12</v>
      </c>
    </row>
    <row r="9" customFormat="false" ht="30" hidden="false" customHeight="true" outlineLevel="0" collapsed="false">
      <c r="A9" s="3" t="s">
        <v>13</v>
      </c>
      <c r="B9" s="4" t="s">
        <v>14</v>
      </c>
    </row>
    <row r="10" customFormat="false" ht="75" hidden="false" customHeight="true" outlineLevel="0" collapsed="false">
      <c r="A10" s="3" t="s">
        <v>15</v>
      </c>
      <c r="B10" s="4" t="s">
        <v>16</v>
      </c>
    </row>
    <row r="11" customFormat="false" ht="45" hidden="false" customHeight="true" outlineLevel="0" collapsed="false">
      <c r="A11" s="3" t="s">
        <v>17</v>
      </c>
      <c r="B11" s="4" t="s">
        <v>18</v>
      </c>
    </row>
    <row r="12" customFormat="false" ht="45" hidden="false" customHeight="true" outlineLevel="0" collapsed="false">
      <c r="A12" s="3" t="s">
        <v>19</v>
      </c>
      <c r="B12" s="4" t="s">
        <v>20</v>
      </c>
    </row>
    <row r="13" customFormat="false" ht="48" hidden="false" customHeight="true" outlineLevel="0" collapsed="false">
      <c r="A13" s="3" t="s">
        <v>21</v>
      </c>
      <c r="B13" s="5" t="s">
        <v>22</v>
      </c>
    </row>
    <row r="14" customFormat="false" ht="48" hidden="false" customHeight="true" outlineLevel="0" collapsed="false">
      <c r="A14" s="3" t="s">
        <v>23</v>
      </c>
      <c r="B14"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10"/>
    <col collapsed="false" customWidth="true" hidden="false" outlineLevel="0" max="5" min="5" style="1" width="14"/>
    <col collapsed="false" customWidth="true" hidden="false" outlineLevel="0" max="6" min="6" style="1" width="28"/>
    <col collapsed="false" customWidth="true" hidden="false" outlineLevel="0" max="7" min="7" style="1" width="12"/>
    <col collapsed="false" customWidth="true" hidden="false" outlineLevel="0" max="8" min="8" style="1" width="10"/>
    <col collapsed="false" customWidth="true" hidden="false" outlineLevel="0" max="9" min="9" style="1" width="14"/>
    <col collapsed="false" customWidth="true" hidden="false" outlineLevel="0" max="10" min="10" style="1" width="11"/>
    <col collapsed="false" customWidth="true" hidden="false" outlineLevel="0" max="12" min="11" style="1" width="15"/>
    <col collapsed="false" customWidth="true" hidden="false" outlineLevel="0" max="13" min="13" style="1" width="17"/>
    <col collapsed="false" customWidth="true" hidden="false" outlineLevel="0" max="14" min="14" style="1" width="10"/>
  </cols>
  <sheetData>
    <row r="1" customFormat="false" ht="17.25" hidden="false" customHeight="true" outlineLevel="0" collapsed="false">
      <c r="A1" s="2" t="s">
        <v>25</v>
      </c>
    </row>
    <row r="2" customFormat="false" ht="15" hidden="false" customHeight="true" outlineLevel="0" collapsed="false">
      <c r="A2" s="6" t="s">
        <v>26</v>
      </c>
    </row>
    <row r="4" customFormat="false" ht="45" hidden="false" customHeight="true" outlineLevel="0" collapsed="false">
      <c r="A4" s="7" t="s">
        <v>27</v>
      </c>
      <c r="B4" s="7" t="s">
        <v>28</v>
      </c>
      <c r="C4" s="7" t="s">
        <v>29</v>
      </c>
      <c r="D4" s="7" t="s">
        <v>30</v>
      </c>
      <c r="E4" s="7" t="s">
        <v>31</v>
      </c>
      <c r="F4" s="7" t="s">
        <v>32</v>
      </c>
      <c r="G4" s="7" t="s">
        <v>29</v>
      </c>
      <c r="H4" s="7" t="s">
        <v>30</v>
      </c>
      <c r="I4" s="7" t="s">
        <v>31</v>
      </c>
      <c r="J4" s="7" t="s">
        <v>33</v>
      </c>
      <c r="K4" s="7" t="s">
        <v>34</v>
      </c>
      <c r="L4" s="7" t="s">
        <v>35</v>
      </c>
      <c r="M4" s="7" t="s">
        <v>36</v>
      </c>
      <c r="N4" s="7" t="s">
        <v>37</v>
      </c>
    </row>
    <row r="5" customFormat="false" ht="31.5" hidden="false" customHeight="true" outlineLevel="0" collapsed="false">
      <c r="A5" s="8" t="str">
        <f aca="false">Tasks!A6</f>
        <v>T1 Support triage</v>
      </c>
      <c r="B5" s="9" t="str">
        <f aca="false">INDEX(Calc!D6:D14,MATCH(MIN(Calc!K6:K14),Calc!K6:K14,0))</f>
        <v>Claude Haiku 5.5</v>
      </c>
      <c r="C5" s="10" t="n">
        <f aca="false">MIN(Calc!K6:K14)</f>
        <v>0.0002211075</v>
      </c>
      <c r="D5" s="11" t="n">
        <f aca="false">INDEX(Calc!L6:L14,MATCH(MIN(Calc!K6:K14),Calc!K6:K14,0))</f>
        <v>0.88</v>
      </c>
      <c r="E5" s="10" t="n">
        <f aca="false">INDEX(Calc!O6:O14,MATCH(MIN(Calc!K6:K14),Calc!K6:K14,0))</f>
        <v>0.2402211075</v>
      </c>
      <c r="F5" s="9" t="str">
        <f aca="false">IF(MIN(Calc!P6:P14)&gt;=1000000000,"None meets required rate",INDEX(Calc!D6:D14,MATCH(MIN(Calc!P6:P14),Calc!P6:P14,0)))</f>
        <v>Gemini 4 Argon</v>
      </c>
      <c r="G5" s="10" t="n">
        <f aca="false">IF(MIN(Calc!P6:P14)&gt;=1000000000,0,INDEX(Calc!K6:K14,MATCH(MIN(Calc!P6:P14),Calc!P6:P14,0)))</f>
        <v>0.00428145</v>
      </c>
      <c r="H5" s="11" t="n">
        <f aca="false">IF(MIN(Calc!P6:P14)&gt;=1000000000,0,INDEX(Calc!L6:L14,MATCH(MIN(Calc!P6:P14),Calc!P6:P14,0)))</f>
        <v>0.97</v>
      </c>
      <c r="I5" s="10" t="n">
        <f aca="false">IF(MIN(Calc!P6:P14)&gt;=1000000000,0,MIN(Calc!P6:P14))</f>
        <v>0.0642814500000001</v>
      </c>
      <c r="J5" s="12" t="n">
        <f aca="false">Tasks!G6</f>
        <v>200000</v>
      </c>
      <c r="K5" s="13" t="n">
        <f aca="false">E5*J5</f>
        <v>48044.2215</v>
      </c>
      <c r="L5" s="13" t="n">
        <f aca="false">I5*J5</f>
        <v>12856.29</v>
      </c>
      <c r="M5" s="14" t="n">
        <f aca="false">K5-L5</f>
        <v>35187.9315</v>
      </c>
      <c r="N5" s="15" t="str">
        <f aca="false">IF(B5=F5,"Yes","No")</f>
        <v>No</v>
      </c>
    </row>
    <row r="6" customFormat="false" ht="31.5" hidden="false" customHeight="true" outlineLevel="0" collapsed="false">
      <c r="A6" s="8" t="str">
        <f aca="false">Tasks!A7</f>
        <v>T2 Document summary</v>
      </c>
      <c r="B6" s="9" t="str">
        <f aca="false">INDEX(Calc!D15:D23,MATCH(MIN(Calc!K15:K23),Calc!K15:K23,0))</f>
        <v>Claude Haiku 5.5</v>
      </c>
      <c r="C6" s="10" t="n">
        <f aca="false">MIN(Calc!K15:K23)</f>
        <v>0.0011675</v>
      </c>
      <c r="D6" s="11" t="n">
        <f aca="false">INDEX(Calc!L15:L23,MATCH(MIN(Calc!K15:K23),Calc!K15:K23,0))</f>
        <v>0.8</v>
      </c>
      <c r="E6" s="10" t="n">
        <f aca="false">INDEX(Calc!O15:O23,MATCH(MIN(Calc!K15:K23),Calc!K15:K23,0))</f>
        <v>1.6011675</v>
      </c>
      <c r="F6" s="9" t="str">
        <f aca="false">IF(MIN(Calc!P15:P23)&gt;=1000000000,"None meets required rate",INDEX(Calc!D15:D23,MATCH(MIN(Calc!P15:P23),Calc!P15:P23,0)))</f>
        <v>Gemini 4 Argon</v>
      </c>
      <c r="G6" s="10" t="n">
        <f aca="false">IF(MIN(Calc!P15:P23)&gt;=1000000000,0,INDEX(Calc!K15:K23,MATCH(MIN(Calc!P15:P23),Calc!P15:P23,0)))</f>
        <v>0.02305</v>
      </c>
      <c r="H6" s="11" t="n">
        <f aca="false">IF(MIN(Calc!P15:P23)&gt;=1000000000,0,INDEX(Calc!L15:L23,MATCH(MIN(Calc!P15:P23),Calc!P15:P23,0)))</f>
        <v>0.95</v>
      </c>
      <c r="I6" s="10" t="n">
        <f aca="false">IF(MIN(Calc!P15:P23)&gt;=1000000000,0,MIN(Calc!P15:P23))</f>
        <v>0.42305</v>
      </c>
      <c r="J6" s="12" t="n">
        <f aca="false">Tasks!G7</f>
        <v>5000</v>
      </c>
      <c r="K6" s="13" t="n">
        <f aca="false">E6*J6</f>
        <v>8005.8375</v>
      </c>
      <c r="L6" s="13" t="n">
        <f aca="false">I6*J6</f>
        <v>2115.25</v>
      </c>
      <c r="M6" s="14" t="n">
        <f aca="false">K6-L6</f>
        <v>5890.5875</v>
      </c>
      <c r="N6" s="15" t="str">
        <f aca="false">IF(B6=F6,"Yes","No")</f>
        <v>No</v>
      </c>
    </row>
    <row r="7" customFormat="false" ht="31.5" hidden="false" customHeight="true" outlineLevel="0" collapsed="false">
      <c r="A7" s="8" t="str">
        <f aca="false">Tasks!A8</f>
        <v>T3 Complex analysis</v>
      </c>
      <c r="B7" s="9" t="str">
        <f aca="false">INDEX(Calc!D24:D32,MATCH(MIN(Calc!K24:K32),Calc!K24:K32,0))</f>
        <v>Claude Haiku 5.5</v>
      </c>
      <c r="C7" s="10" t="n">
        <f aca="false">MIN(Calc!K24:K32)</f>
        <v>0.005446</v>
      </c>
      <c r="D7" s="11" t="n">
        <f aca="false">INDEX(Calc!L24:L32,MATCH(MIN(Calc!K24:K32),Calc!K24:K32,0))</f>
        <v>0.35</v>
      </c>
      <c r="E7" s="10" t="n">
        <f aca="false">INDEX(Calc!O24:O32,MATCH(MIN(Calc!K24:K32),Calc!K24:K32,0))</f>
        <v>26.005446</v>
      </c>
      <c r="F7" s="9" t="str">
        <f aca="false">IF(MIN(Calc!P24:P32)&gt;=1000000000,"None meets required rate",INDEX(Calc!D24:D32,MATCH(MIN(Calc!P24:P32),Calc!P24:P32,0)))</f>
        <v>Gemini 4 Argon</v>
      </c>
      <c r="G7" s="10" t="n">
        <f aca="false">IF(MIN(Calc!P24:P32)&gt;=1000000000,0,INDEX(Calc!K24:K32,MATCH(MIN(Calc!P24:P32),Calc!P24:P32,0)))</f>
        <v>0.10276</v>
      </c>
      <c r="H7" s="11" t="n">
        <f aca="false">IF(MIN(Calc!P24:P32)&gt;=1000000000,0,INDEX(Calc!L24:L32,MATCH(MIN(Calc!P24:P32),Calc!P24:P32,0)))</f>
        <v>0.88</v>
      </c>
      <c r="I7" s="10" t="n">
        <f aca="false">IF(MIN(Calc!P24:P32)&gt;=1000000000,0,MIN(Calc!P24:P32))</f>
        <v>4.90276</v>
      </c>
      <c r="J7" s="12" t="n">
        <f aca="false">Tasks!G8</f>
        <v>1000</v>
      </c>
      <c r="K7" s="13" t="n">
        <f aca="false">E7*J7</f>
        <v>26005.446</v>
      </c>
      <c r="L7" s="13" t="n">
        <f aca="false">I7*J7</f>
        <v>4902.76</v>
      </c>
      <c r="M7" s="14" t="n">
        <f aca="false">K7-L7</f>
        <v>21102.686</v>
      </c>
      <c r="N7" s="15" t="str">
        <f aca="false">IF(B7=F7,"Yes","No")</f>
        <v>No</v>
      </c>
    </row>
    <row r="9" customFormat="false" ht="15" hidden="false" customHeight="true" outlineLevel="0" collapsed="false">
      <c r="A9" s="6" t="s">
        <v>38</v>
      </c>
    </row>
    <row r="10" customFormat="false" ht="15" hidden="false" customHeight="true" outlineLevel="0" collapsed="false">
      <c r="A10" s="6"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4"/>
    <col collapsed="false" customWidth="true" hidden="false" outlineLevel="0" max="5" min="4" style="0" width="16"/>
    <col collapsed="false" customWidth="true" hidden="false" outlineLevel="0" max="6" min="6" style="0" width="44"/>
    <col collapsed="false" customWidth="true" hidden="false" outlineLevel="0" max="8" min="7" style="0" width="16"/>
    <col collapsed="false" customWidth="true" hidden="false" outlineLevel="0" max="9" min="9" style="0" width="18"/>
    <col collapsed="false" customWidth="true" hidden="false" outlineLevel="0" max="10" min="10" style="0" width="22"/>
    <col collapsed="false" customWidth="true" hidden="false" outlineLevel="0" max="11" min="11" style="0" width="14"/>
  </cols>
  <sheetData>
    <row r="1" customFormat="false" ht="17.35" hidden="false" customHeight="false" outlineLevel="0" collapsed="false">
      <c r="A1" s="16" t="s">
        <v>40</v>
      </c>
    </row>
    <row r="2" customFormat="false" ht="15" hidden="false" customHeight="false" outlineLevel="0" collapsed="false">
      <c r="A2" s="17" t="s">
        <v>41</v>
      </c>
    </row>
    <row r="4" customFormat="false" ht="15" hidden="false" customHeight="false" outlineLevel="0" collapsed="false">
      <c r="A4" s="18" t="s">
        <v>42</v>
      </c>
      <c r="B4" s="19" t="s">
        <v>43</v>
      </c>
    </row>
    <row r="6" customFormat="false" ht="45" hidden="false" customHeight="true" outlineLevel="0" collapsed="false">
      <c r="A6" s="7" t="s">
        <v>44</v>
      </c>
      <c r="B6" s="7" t="s">
        <v>45</v>
      </c>
      <c r="C6" s="7" t="s">
        <v>43</v>
      </c>
      <c r="D6" s="7" t="s">
        <v>46</v>
      </c>
      <c r="E6" s="7" t="s">
        <v>47</v>
      </c>
      <c r="F6" s="7" t="s">
        <v>48</v>
      </c>
    </row>
    <row r="7" customFormat="false" ht="15" hidden="false" customHeight="false" outlineLevel="0" collapsed="false">
      <c r="A7" s="20" t="s">
        <v>49</v>
      </c>
      <c r="B7" s="21" t="n">
        <v>0.4</v>
      </c>
      <c r="C7" s="21" t="n">
        <v>0.6</v>
      </c>
      <c r="D7" s="21" t="n">
        <v>0.8</v>
      </c>
      <c r="E7" s="22" t="n">
        <f aca="false">INDEX(B7:D7,MATCH($B$4,$B$6:$D$6,0))</f>
        <v>0.6</v>
      </c>
      <c r="F7" s="23" t="s">
        <v>50</v>
      </c>
    </row>
    <row r="8" customFormat="false" ht="22.35" hidden="false" customHeight="false" outlineLevel="0" collapsed="false">
      <c r="A8" s="20" t="s">
        <v>51</v>
      </c>
      <c r="B8" s="21" t="n">
        <v>0.25</v>
      </c>
      <c r="C8" s="22" t="n">
        <f aca="false">$B$8</f>
        <v>0.25</v>
      </c>
      <c r="D8" s="22" t="n">
        <f aca="false">$B$8</f>
        <v>0.25</v>
      </c>
      <c r="E8" s="22" t="n">
        <f aca="false">INDEX(B8:D8,MATCH($B$4,$B$6:$D$6,0))</f>
        <v>0.25</v>
      </c>
      <c r="F8" s="23" t="s">
        <v>52</v>
      </c>
    </row>
    <row r="9" customFormat="false" ht="22.35" hidden="false" customHeight="false" outlineLevel="0" collapsed="false">
      <c r="A9" s="20" t="s">
        <v>53</v>
      </c>
      <c r="B9" s="24" t="n">
        <f aca="false">1-(1-B7)/(1-B8)</f>
        <v>0.2</v>
      </c>
      <c r="C9" s="24" t="n">
        <f aca="false">1-(1-C7)/(1-C8)</f>
        <v>0.466666666666667</v>
      </c>
      <c r="D9" s="24" t="n">
        <f aca="false">1-(1-D7)/(1-D8)</f>
        <v>0.733333333333333</v>
      </c>
      <c r="E9" s="24" t="n">
        <f aca="false">INDEX(B9:D9,MATCH($B$4,$B$6:$D$6,0))</f>
        <v>0.466666666666667</v>
      </c>
      <c r="F9" s="23" t="s">
        <v>54</v>
      </c>
    </row>
    <row r="10" customFormat="false" ht="22.35" hidden="false" customHeight="false" outlineLevel="0" collapsed="false">
      <c r="A10" s="20" t="s">
        <v>55</v>
      </c>
      <c r="B10" s="21" t="n">
        <v>0.4</v>
      </c>
      <c r="C10" s="22" t="n">
        <f aca="false">$B$10</f>
        <v>0.4</v>
      </c>
      <c r="D10" s="22" t="n">
        <f aca="false">$B$10</f>
        <v>0.4</v>
      </c>
      <c r="E10" s="22" t="n">
        <f aca="false">INDEX(B10:D10,MATCH($B$4,$B$6:$D$6,0))</f>
        <v>0.4</v>
      </c>
      <c r="F10" s="23" t="s">
        <v>56</v>
      </c>
    </row>
    <row r="11" customFormat="false" ht="15" hidden="false" customHeight="false" outlineLevel="0" collapsed="false">
      <c r="A11" s="20" t="s">
        <v>57</v>
      </c>
      <c r="B11" s="21" t="n">
        <v>0.75</v>
      </c>
      <c r="C11" s="22" t="n">
        <f aca="false">$B$11</f>
        <v>0.75</v>
      </c>
      <c r="D11" s="22" t="n">
        <f aca="false">$B$11</f>
        <v>0.75</v>
      </c>
      <c r="E11" s="22" t="n">
        <f aca="false">INDEX(B11:D11,MATCH($B$4,$B$6:$D$6,0))</f>
        <v>0.75</v>
      </c>
    </row>
    <row r="12" customFormat="false" ht="15" hidden="false" customHeight="false" outlineLevel="0" collapsed="false">
      <c r="A12" s="20" t="s">
        <v>58</v>
      </c>
      <c r="B12" s="25" t="n">
        <v>0.05</v>
      </c>
      <c r="C12" s="22" t="n">
        <f aca="false">$B$12</f>
        <v>0.05</v>
      </c>
      <c r="D12" s="22" t="n">
        <f aca="false">$B$12</f>
        <v>0.05</v>
      </c>
      <c r="E12" s="22" t="n">
        <f aca="false">INDEX(B12:D12,MATCH($B$4,$B$6:$D$6,0))</f>
        <v>0.05</v>
      </c>
    </row>
    <row r="13" customFormat="false" ht="22.35" hidden="false" customHeight="false" outlineLevel="0" collapsed="false">
      <c r="A13" s="26" t="s">
        <v>59</v>
      </c>
      <c r="B13" s="22" t="n">
        <f aca="false">ROUNDDOWN(B10*B9/B12,0)*B12</f>
        <v>0.05</v>
      </c>
      <c r="C13" s="22" t="n">
        <f aca="false">ROUNDDOWN(C10*C9/C12,0)*C12</f>
        <v>0.15</v>
      </c>
      <c r="D13" s="22" t="n">
        <f aca="false">ROUNDDOWN(D10*D9/D12,0)*D12</f>
        <v>0.25</v>
      </c>
      <c r="E13" s="22" t="n">
        <f aca="false">INDEX(B13:D13,MATCH($B$4,$B$6:$D$6,0))</f>
        <v>0.15</v>
      </c>
      <c r="F13" s="23" t="s">
        <v>60</v>
      </c>
    </row>
    <row r="14" customFormat="false" ht="15" hidden="false" customHeight="false" outlineLevel="0" collapsed="false">
      <c r="A14" s="26" t="s">
        <v>61</v>
      </c>
      <c r="B14" s="22" t="n">
        <f aca="false">ROUNDDOWN(B11*B9/B12,0)*B12</f>
        <v>0.15</v>
      </c>
      <c r="C14" s="22" t="n">
        <f aca="false">ROUNDDOWN(C11*C9/C12,0)*C12</f>
        <v>0.35</v>
      </c>
      <c r="D14" s="22" t="n">
        <f aca="false">ROUNDDOWN(D11*D9/D12,0)*D12</f>
        <v>0.55</v>
      </c>
      <c r="E14" s="22" t="n">
        <f aca="false">INDEX(B14:D14,MATCH($B$4,$B$6:$D$6,0))</f>
        <v>0.35</v>
      </c>
    </row>
    <row r="15" customFormat="false" ht="15" hidden="false" customHeight="false" outlineLevel="0" collapsed="false">
      <c r="A15" s="26" t="s">
        <v>62</v>
      </c>
      <c r="B15" s="22" t="n">
        <f aca="false">ROUNDDOWN(B9/B12,0)*B12</f>
        <v>0.2</v>
      </c>
      <c r="C15" s="22" t="n">
        <f aca="false">ROUNDDOWN(C9/C12,0)*C12</f>
        <v>0.45</v>
      </c>
      <c r="D15" s="22" t="n">
        <f aca="false">ROUNDDOWN(D9/D12,0)*D12</f>
        <v>0.7</v>
      </c>
      <c r="E15" s="22" t="n">
        <f aca="false">INDEX(B15:D15,MATCH($B$4,$B$6:$D$6,0))</f>
        <v>0.45</v>
      </c>
    </row>
    <row r="17" customFormat="false" ht="15" hidden="false" customHeight="false" outlineLevel="0" collapsed="false">
      <c r="A17" s="18" t="s">
        <v>63</v>
      </c>
    </row>
    <row r="19" customFormat="false" ht="45" hidden="false" customHeight="true" outlineLevel="0" collapsed="false">
      <c r="A19" s="7" t="s">
        <v>64</v>
      </c>
      <c r="B19" s="7" t="s">
        <v>65</v>
      </c>
      <c r="C19" s="7" t="s">
        <v>66</v>
      </c>
      <c r="D19" s="7" t="s">
        <v>67</v>
      </c>
      <c r="E19" s="7" t="s">
        <v>68</v>
      </c>
      <c r="F19" s="7" t="s">
        <v>69</v>
      </c>
      <c r="G19" s="7" t="s">
        <v>70</v>
      </c>
      <c r="H19" s="7" t="s">
        <v>71</v>
      </c>
      <c r="I19" s="7" t="s">
        <v>72</v>
      </c>
      <c r="J19" s="7" t="s">
        <v>73</v>
      </c>
      <c r="K19" s="7" t="s">
        <v>74</v>
      </c>
    </row>
    <row r="20" customFormat="false" ht="15" hidden="false" customHeight="false" outlineLevel="0" collapsed="false">
      <c r="A20" s="27" t="s">
        <v>75</v>
      </c>
      <c r="B20" s="28" t="n">
        <v>5000</v>
      </c>
      <c r="C20" s="29" t="n">
        <v>12</v>
      </c>
      <c r="D20" s="25" t="n">
        <v>0.05</v>
      </c>
      <c r="E20" s="30" t="n">
        <f aca="false">B20*C20</f>
        <v>60000</v>
      </c>
      <c r="F20" s="30" t="n">
        <f aca="false">E20*(1-D20)</f>
        <v>57000</v>
      </c>
      <c r="G20" s="30" t="n">
        <f aca="false">E20-F20</f>
        <v>3000</v>
      </c>
      <c r="H20" s="24" t="n">
        <f aca="false">1-(1-$E$7)/(1-D20)</f>
        <v>0.578947368421053</v>
      </c>
      <c r="I20" s="30" t="n">
        <f aca="false">F20-E20*(1-$E$7)</f>
        <v>33000</v>
      </c>
      <c r="J20" s="31" t="str">
        <f aca="false">IF(D20&lt;=$E$13,"Rep",IF(D20&lt;=$E$14,"Manager",IF(D20&lt;=$E$15,"Finance","Exception (below floor)")))</f>
        <v>Rep</v>
      </c>
      <c r="K20" s="31" t="str">
        <f aca="false">IF(H20&lt;$E$8,"Yes","No")</f>
        <v>No</v>
      </c>
    </row>
    <row r="21" customFormat="false" ht="15" hidden="false" customHeight="false" outlineLevel="0" collapsed="false">
      <c r="A21" s="27" t="s">
        <v>76</v>
      </c>
      <c r="B21" s="28" t="n">
        <v>12000</v>
      </c>
      <c r="C21" s="29" t="n">
        <v>12</v>
      </c>
      <c r="D21" s="25" t="n">
        <v>0.1</v>
      </c>
      <c r="E21" s="30" t="n">
        <f aca="false">B21*C21</f>
        <v>144000</v>
      </c>
      <c r="F21" s="30" t="n">
        <f aca="false">E21*(1-D21)</f>
        <v>129600</v>
      </c>
      <c r="G21" s="30" t="n">
        <f aca="false">E21-F21</f>
        <v>14400</v>
      </c>
      <c r="H21" s="24" t="n">
        <f aca="false">1-(1-$E$7)/(1-D21)</f>
        <v>0.555555555555556</v>
      </c>
      <c r="I21" s="30" t="n">
        <f aca="false">F21-E21*(1-$E$7)</f>
        <v>72000</v>
      </c>
      <c r="J21" s="31" t="str">
        <f aca="false">IF(D21&lt;=$E$13,"Rep",IF(D21&lt;=$E$14,"Manager",IF(D21&lt;=$E$15,"Finance","Exception (below floor)")))</f>
        <v>Rep</v>
      </c>
      <c r="K21" s="31" t="str">
        <f aca="false">IF(H21&lt;$E$8,"Yes","No")</f>
        <v>No</v>
      </c>
    </row>
    <row r="22" customFormat="false" ht="15" hidden="false" customHeight="false" outlineLevel="0" collapsed="false">
      <c r="A22" s="27" t="s">
        <v>77</v>
      </c>
      <c r="B22" s="28" t="n">
        <v>25000</v>
      </c>
      <c r="C22" s="29" t="n">
        <v>12</v>
      </c>
      <c r="D22" s="25" t="n">
        <v>0.15</v>
      </c>
      <c r="E22" s="30" t="n">
        <f aca="false">B22*C22</f>
        <v>300000</v>
      </c>
      <c r="F22" s="30" t="n">
        <f aca="false">E22*(1-D22)</f>
        <v>255000</v>
      </c>
      <c r="G22" s="30" t="n">
        <f aca="false">E22-F22</f>
        <v>45000</v>
      </c>
      <c r="H22" s="24" t="n">
        <f aca="false">1-(1-$E$7)/(1-D22)</f>
        <v>0.529411764705882</v>
      </c>
      <c r="I22" s="30" t="n">
        <f aca="false">F22-E22*(1-$E$7)</f>
        <v>135000</v>
      </c>
      <c r="J22" s="31" t="str">
        <f aca="false">IF(D22&lt;=$E$13,"Rep",IF(D22&lt;=$E$14,"Manager",IF(D22&lt;=$E$15,"Finance","Exception (below floor)")))</f>
        <v>Rep</v>
      </c>
      <c r="K22" s="31" t="str">
        <f aca="false">IF(H22&lt;$E$8,"Yes","No")</f>
        <v>No</v>
      </c>
    </row>
    <row r="23" customFormat="false" ht="15" hidden="false" customHeight="false" outlineLevel="0" collapsed="false">
      <c r="A23" s="27" t="s">
        <v>78</v>
      </c>
      <c r="B23" s="28" t="n">
        <v>40000</v>
      </c>
      <c r="C23" s="29" t="n">
        <v>24</v>
      </c>
      <c r="D23" s="25" t="n">
        <v>0.2</v>
      </c>
      <c r="E23" s="30" t="n">
        <f aca="false">B23*C23</f>
        <v>960000</v>
      </c>
      <c r="F23" s="30" t="n">
        <f aca="false">E23*(1-D23)</f>
        <v>768000</v>
      </c>
      <c r="G23" s="30" t="n">
        <f aca="false">E23-F23</f>
        <v>192000</v>
      </c>
      <c r="H23" s="24" t="n">
        <f aca="false">1-(1-$E$7)/(1-D23)</f>
        <v>0.5</v>
      </c>
      <c r="I23" s="30" t="n">
        <f aca="false">F23-E23*(1-$E$7)</f>
        <v>384000</v>
      </c>
      <c r="J23" s="31" t="str">
        <f aca="false">IF(D23&lt;=$E$13,"Rep",IF(D23&lt;=$E$14,"Manager",IF(D23&lt;=$E$15,"Finance","Exception (below floor)")))</f>
        <v>Manager</v>
      </c>
      <c r="K23" s="31" t="str">
        <f aca="false">IF(H23&lt;$E$8,"Yes","No")</f>
        <v>No</v>
      </c>
    </row>
    <row r="24" customFormat="false" ht="15" hidden="false" customHeight="false" outlineLevel="0" collapsed="false">
      <c r="A24" s="27" t="s">
        <v>79</v>
      </c>
      <c r="B24" s="28" t="n">
        <v>60000</v>
      </c>
      <c r="C24" s="29" t="n">
        <v>24</v>
      </c>
      <c r="D24" s="25" t="n">
        <v>0.25</v>
      </c>
      <c r="E24" s="30" t="n">
        <f aca="false">B24*C24</f>
        <v>1440000</v>
      </c>
      <c r="F24" s="30" t="n">
        <f aca="false">E24*(1-D24)</f>
        <v>1080000</v>
      </c>
      <c r="G24" s="30" t="n">
        <f aca="false">E24-F24</f>
        <v>360000</v>
      </c>
      <c r="H24" s="24" t="n">
        <f aca="false">1-(1-$E$7)/(1-D24)</f>
        <v>0.466666666666667</v>
      </c>
      <c r="I24" s="30" t="n">
        <f aca="false">F24-E24*(1-$E$7)</f>
        <v>504000</v>
      </c>
      <c r="J24" s="31" t="str">
        <f aca="false">IF(D24&lt;=$E$13,"Rep",IF(D24&lt;=$E$14,"Manager",IF(D24&lt;=$E$15,"Finance","Exception (below floor)")))</f>
        <v>Manager</v>
      </c>
      <c r="K24" s="31" t="str">
        <f aca="false">IF(H24&lt;$E$8,"Yes","No")</f>
        <v>No</v>
      </c>
    </row>
    <row r="25" customFormat="false" ht="15" hidden="false" customHeight="false" outlineLevel="0" collapsed="false">
      <c r="A25" s="27" t="s">
        <v>80</v>
      </c>
      <c r="B25" s="28" t="n">
        <v>80000</v>
      </c>
      <c r="C25" s="29" t="n">
        <v>36</v>
      </c>
      <c r="D25" s="25" t="n">
        <v>0.3</v>
      </c>
      <c r="E25" s="30" t="n">
        <f aca="false">B25*C25</f>
        <v>2880000</v>
      </c>
      <c r="F25" s="30" t="n">
        <f aca="false">E25*(1-D25)</f>
        <v>2016000</v>
      </c>
      <c r="G25" s="30" t="n">
        <f aca="false">E25-F25</f>
        <v>864000</v>
      </c>
      <c r="H25" s="24" t="n">
        <f aca="false">1-(1-$E$7)/(1-D25)</f>
        <v>0.428571428571429</v>
      </c>
      <c r="I25" s="30" t="n">
        <f aca="false">F25-E25*(1-$E$7)</f>
        <v>864000</v>
      </c>
      <c r="J25" s="31" t="str">
        <f aca="false">IF(D25&lt;=$E$13,"Rep",IF(D25&lt;=$E$14,"Manager",IF(D25&lt;=$E$15,"Finance","Exception (below floor)")))</f>
        <v>Manager</v>
      </c>
      <c r="K25" s="31" t="str">
        <f aca="false">IF(H25&lt;$E$8,"Yes","No")</f>
        <v>No</v>
      </c>
    </row>
    <row r="26" customFormat="false" ht="15" hidden="false" customHeight="false" outlineLevel="0" collapsed="false">
      <c r="A26" s="27" t="s">
        <v>81</v>
      </c>
      <c r="B26" s="28" t="n">
        <v>120000</v>
      </c>
      <c r="C26" s="29" t="n">
        <v>36</v>
      </c>
      <c r="D26" s="25" t="n">
        <v>0.35</v>
      </c>
      <c r="E26" s="30" t="n">
        <f aca="false">B26*C26</f>
        <v>4320000</v>
      </c>
      <c r="F26" s="30" t="n">
        <f aca="false">E26*(1-D26)</f>
        <v>2808000</v>
      </c>
      <c r="G26" s="30" t="n">
        <f aca="false">E26-F26</f>
        <v>1512000</v>
      </c>
      <c r="H26" s="24" t="n">
        <f aca="false">1-(1-$E$7)/(1-D26)</f>
        <v>0.384615384615385</v>
      </c>
      <c r="I26" s="30" t="n">
        <f aca="false">F26-E26*(1-$E$7)</f>
        <v>1080000</v>
      </c>
      <c r="J26" s="31" t="str">
        <f aca="false">IF(D26&lt;=$E$13,"Rep",IF(D26&lt;=$E$14,"Manager",IF(D26&lt;=$E$15,"Finance","Exception (below floor)")))</f>
        <v>Manager</v>
      </c>
      <c r="K26" s="31" t="str">
        <f aca="false">IF(H26&lt;$E$8,"Yes","No")</f>
        <v>No</v>
      </c>
    </row>
    <row r="27" customFormat="false" ht="15" hidden="false" customHeight="false" outlineLevel="0" collapsed="false">
      <c r="A27" s="27" t="s">
        <v>82</v>
      </c>
      <c r="B27" s="28" t="n">
        <v>8000</v>
      </c>
      <c r="C27" s="29" t="n">
        <v>12</v>
      </c>
      <c r="D27" s="25" t="n">
        <v>0.12</v>
      </c>
      <c r="E27" s="30" t="n">
        <f aca="false">B27*C27</f>
        <v>96000</v>
      </c>
      <c r="F27" s="30" t="n">
        <f aca="false">E27*(1-D27)</f>
        <v>84480</v>
      </c>
      <c r="G27" s="30" t="n">
        <f aca="false">E27-F27</f>
        <v>11520</v>
      </c>
      <c r="H27" s="24" t="n">
        <f aca="false">1-(1-$E$7)/(1-D27)</f>
        <v>0.545454545454545</v>
      </c>
      <c r="I27" s="30" t="n">
        <f aca="false">F27-E27*(1-$E$7)</f>
        <v>46080</v>
      </c>
      <c r="J27" s="31" t="str">
        <f aca="false">IF(D27&lt;=$E$13,"Rep",IF(D27&lt;=$E$14,"Manager",IF(D27&lt;=$E$15,"Finance","Exception (below floor)")))</f>
        <v>Rep</v>
      </c>
      <c r="K27" s="31" t="str">
        <f aca="false">IF(H27&lt;$E$8,"Yes","No")</f>
        <v>No</v>
      </c>
    </row>
    <row r="28" customFormat="false" ht="15" hidden="false" customHeight="false" outlineLevel="0" collapsed="false">
      <c r="A28" s="27" t="s">
        <v>83</v>
      </c>
      <c r="B28" s="28" t="n">
        <v>200000</v>
      </c>
      <c r="C28" s="29" t="n">
        <v>36</v>
      </c>
      <c r="D28" s="25" t="n">
        <v>0.4</v>
      </c>
      <c r="E28" s="30" t="n">
        <f aca="false">B28*C28</f>
        <v>7200000</v>
      </c>
      <c r="F28" s="30" t="n">
        <f aca="false">E28*(1-D28)</f>
        <v>4320000</v>
      </c>
      <c r="G28" s="30" t="n">
        <f aca="false">E28-F28</f>
        <v>2880000</v>
      </c>
      <c r="H28" s="24" t="n">
        <f aca="false">1-(1-$E$7)/(1-D28)</f>
        <v>0.333333333333333</v>
      </c>
      <c r="I28" s="30" t="n">
        <f aca="false">F28-E28*(1-$E$7)</f>
        <v>1440000</v>
      </c>
      <c r="J28" s="31" t="str">
        <f aca="false">IF(D28&lt;=$E$13,"Rep",IF(D28&lt;=$E$14,"Manager",IF(D28&lt;=$E$15,"Finance","Exception (below floor)")))</f>
        <v>Finance</v>
      </c>
      <c r="K28" s="31" t="str">
        <f aca="false">IF(H28&lt;$E$8,"Yes","No")</f>
        <v>No</v>
      </c>
    </row>
    <row r="29" customFormat="false" ht="15" hidden="false" customHeight="false" outlineLevel="0" collapsed="false">
      <c r="A29" s="27" t="s">
        <v>84</v>
      </c>
      <c r="B29" s="28" t="n">
        <v>15000</v>
      </c>
      <c r="C29" s="29" t="n">
        <v>24</v>
      </c>
      <c r="D29" s="25" t="n">
        <v>0.18</v>
      </c>
      <c r="E29" s="30" t="n">
        <f aca="false">B29*C29</f>
        <v>360000</v>
      </c>
      <c r="F29" s="30" t="n">
        <f aca="false">E29*(1-D29)</f>
        <v>295200</v>
      </c>
      <c r="G29" s="30" t="n">
        <f aca="false">E29-F29</f>
        <v>64800</v>
      </c>
      <c r="H29" s="24" t="n">
        <f aca="false">1-(1-$E$7)/(1-D29)</f>
        <v>0.51219512195122</v>
      </c>
      <c r="I29" s="30" t="n">
        <f aca="false">F29-E29*(1-$E$7)</f>
        <v>151200</v>
      </c>
      <c r="J29" s="31" t="str">
        <f aca="false">IF(D29&lt;=$E$13,"Rep",IF(D29&lt;=$E$14,"Manager",IF(D29&lt;=$E$15,"Finance","Exception (below floor)")))</f>
        <v>Manager</v>
      </c>
      <c r="K29" s="31" t="str">
        <f aca="false">IF(H29&lt;$E$8,"Yes","No")</f>
        <v>No</v>
      </c>
    </row>
    <row r="30" customFormat="false" ht="15" hidden="false" customHeight="false" outlineLevel="0" collapsed="false">
      <c r="A30" s="27" t="s">
        <v>85</v>
      </c>
      <c r="B30" s="28" t="n">
        <v>300000</v>
      </c>
      <c r="C30" s="29" t="n">
        <v>36</v>
      </c>
      <c r="D30" s="25" t="n">
        <v>0.45</v>
      </c>
      <c r="E30" s="30" t="n">
        <f aca="false">B30*C30</f>
        <v>10800000</v>
      </c>
      <c r="F30" s="30" t="n">
        <f aca="false">E30*(1-D30)</f>
        <v>5940000</v>
      </c>
      <c r="G30" s="30" t="n">
        <f aca="false">E30-F30</f>
        <v>4860000</v>
      </c>
      <c r="H30" s="24" t="n">
        <f aca="false">1-(1-$E$7)/(1-D30)</f>
        <v>0.272727272727273</v>
      </c>
      <c r="I30" s="30" t="n">
        <f aca="false">F30-E30*(1-$E$7)</f>
        <v>1620000</v>
      </c>
      <c r="J30" s="31" t="str">
        <f aca="false">IF(D30&lt;=$E$13,"Rep",IF(D30&lt;=$E$14,"Manager",IF(D30&lt;=$E$15,"Finance","Exception (below floor)")))</f>
        <v>Finance</v>
      </c>
      <c r="K30" s="31" t="str">
        <f aca="false">IF(H30&lt;$E$8,"Yes","No")</f>
        <v>No</v>
      </c>
    </row>
    <row r="31" customFormat="false" ht="15" hidden="false" customHeight="false" outlineLevel="0" collapsed="false">
      <c r="A31" s="27" t="s">
        <v>86</v>
      </c>
      <c r="B31" s="28" t="n">
        <v>3000</v>
      </c>
      <c r="C31" s="29" t="n">
        <v>12</v>
      </c>
      <c r="D31" s="25" t="n">
        <v>0</v>
      </c>
      <c r="E31" s="30" t="n">
        <f aca="false">B31*C31</f>
        <v>36000</v>
      </c>
      <c r="F31" s="30" t="n">
        <f aca="false">E31*(1-D31)</f>
        <v>36000</v>
      </c>
      <c r="G31" s="30" t="n">
        <f aca="false">E31-F31</f>
        <v>0</v>
      </c>
      <c r="H31" s="24" t="n">
        <f aca="false">1-(1-$E$7)/(1-D31)</f>
        <v>0.6</v>
      </c>
      <c r="I31" s="30" t="n">
        <f aca="false">F31-E31*(1-$E$7)</f>
        <v>21600</v>
      </c>
      <c r="J31" s="31" t="str">
        <f aca="false">IF(D31&lt;=$E$13,"Rep",IF(D31&lt;=$E$14,"Manager",IF(D31&lt;=$E$15,"Finance","Exception (below floor)")))</f>
        <v>Rep</v>
      </c>
      <c r="K31" s="31" t="str">
        <f aca="false">IF(H31&lt;$E$8,"Yes","No")</f>
        <v>No</v>
      </c>
    </row>
    <row r="34" customFormat="false" ht="15" hidden="false" customHeight="false" outlineLevel="0" collapsed="false">
      <c r="A34" s="18" t="s">
        <v>87</v>
      </c>
    </row>
    <row r="35" customFormat="false" ht="45" hidden="false" customHeight="true" outlineLevel="0" collapsed="false">
      <c r="A35" s="7" t="s">
        <v>88</v>
      </c>
      <c r="B35" s="7" t="s">
        <v>89</v>
      </c>
      <c r="C35" s="7" t="s">
        <v>90</v>
      </c>
      <c r="D35" s="7" t="s">
        <v>69</v>
      </c>
      <c r="E35" s="7" t="s">
        <v>70</v>
      </c>
      <c r="F35" s="7" t="s">
        <v>72</v>
      </c>
      <c r="G35" s="7" t="s">
        <v>91</v>
      </c>
    </row>
    <row r="36" customFormat="false" ht="15" hidden="false" customHeight="false" outlineLevel="0" collapsed="false">
      <c r="A36" s="20" t="s">
        <v>92</v>
      </c>
      <c r="B36" s="32" t="n">
        <f aca="false">COUNTIF($J$20:$J$31,A36)</f>
        <v>5</v>
      </c>
      <c r="C36" s="22" t="n">
        <f aca="false">B36/$B$40</f>
        <v>0.416666666666667</v>
      </c>
      <c r="D36" s="30" t="n">
        <f aca="false">SUMIF($J$20:$J$31,A36,$F$20:$F$31)</f>
        <v>562080</v>
      </c>
      <c r="E36" s="30" t="n">
        <f aca="false">SUMIF($J$20:$J$31,A36,$G$20:$G$31)</f>
        <v>73920</v>
      </c>
      <c r="F36" s="30" t="n">
        <f aca="false">SUMIF($J$20:$J$31,A36,$I$20:$I$31)</f>
        <v>307680</v>
      </c>
      <c r="G36" s="24" t="n">
        <f aca="false">IF(D36&gt;0,F36/D36,0)</f>
        <v>0.547395388556789</v>
      </c>
    </row>
    <row r="37" customFormat="false" ht="15" hidden="false" customHeight="false" outlineLevel="0" collapsed="false">
      <c r="A37" s="20" t="s">
        <v>93</v>
      </c>
      <c r="B37" s="32" t="n">
        <f aca="false">COUNTIF($J$20:$J$31,A37)</f>
        <v>5</v>
      </c>
      <c r="C37" s="22" t="n">
        <f aca="false">B37/$B$40</f>
        <v>0.416666666666667</v>
      </c>
      <c r="D37" s="30" t="n">
        <f aca="false">SUMIF($J$20:$J$31,A37,$F$20:$F$31)</f>
        <v>6967200</v>
      </c>
      <c r="E37" s="30" t="n">
        <f aca="false">SUMIF($J$20:$J$31,A37,$G$20:$G$31)</f>
        <v>2992800</v>
      </c>
      <c r="F37" s="30" t="n">
        <f aca="false">SUMIF($J$20:$J$31,A37,$I$20:$I$31)</f>
        <v>2983200</v>
      </c>
      <c r="G37" s="24" t="n">
        <f aca="false">IF(D37&gt;0,F37/D37,0)</f>
        <v>0.428177747158112</v>
      </c>
    </row>
    <row r="38" customFormat="false" ht="15" hidden="false" customHeight="false" outlineLevel="0" collapsed="false">
      <c r="A38" s="20" t="s">
        <v>94</v>
      </c>
      <c r="B38" s="32" t="n">
        <f aca="false">COUNTIF($J$20:$J$31,A38)</f>
        <v>2</v>
      </c>
      <c r="C38" s="22" t="n">
        <f aca="false">B38/$B$40</f>
        <v>0.166666666666667</v>
      </c>
      <c r="D38" s="30" t="n">
        <f aca="false">SUMIF($J$20:$J$31,A38,$F$20:$F$31)</f>
        <v>10260000</v>
      </c>
      <c r="E38" s="30" t="n">
        <f aca="false">SUMIF($J$20:$J$31,A38,$G$20:$G$31)</f>
        <v>7740000</v>
      </c>
      <c r="F38" s="30" t="n">
        <f aca="false">SUMIF($J$20:$J$31,A38,$I$20:$I$31)</f>
        <v>3060000</v>
      </c>
      <c r="G38" s="24" t="n">
        <f aca="false">IF(D38&gt;0,F38/D38,0)</f>
        <v>0.298245614035088</v>
      </c>
    </row>
    <row r="39" customFormat="false" ht="15" hidden="false" customHeight="false" outlineLevel="0" collapsed="false">
      <c r="A39" s="20" t="s">
        <v>95</v>
      </c>
      <c r="B39" s="32" t="n">
        <f aca="false">COUNTIF($J$20:$J$31,A39)</f>
        <v>0</v>
      </c>
      <c r="C39" s="22" t="n">
        <f aca="false">B39/$B$40</f>
        <v>0</v>
      </c>
      <c r="D39" s="30" t="n">
        <f aca="false">SUMIF($J$20:$J$31,A39,$F$20:$F$31)</f>
        <v>0</v>
      </c>
      <c r="E39" s="30" t="n">
        <f aca="false">SUMIF($J$20:$J$31,A39,$G$20:$G$31)</f>
        <v>0</v>
      </c>
      <c r="F39" s="30" t="n">
        <f aca="false">SUMIF($J$20:$J$31,A39,$I$20:$I$31)</f>
        <v>0</v>
      </c>
      <c r="G39" s="24" t="n">
        <f aca="false">IF(D39&gt;0,F39/D39,0)</f>
        <v>0</v>
      </c>
    </row>
    <row r="40" customFormat="false" ht="15" hidden="false" customHeight="false" outlineLevel="0" collapsed="false">
      <c r="A40" s="26" t="s">
        <v>96</v>
      </c>
      <c r="B40" s="33" t="n">
        <f aca="false">SUM(B36:B39)</f>
        <v>12</v>
      </c>
      <c r="C40" s="34" t="n">
        <f aca="false">SUM(C36:C39)</f>
        <v>1</v>
      </c>
      <c r="D40" s="35" t="n">
        <f aca="false">SUM(D36:D39)</f>
        <v>17789280</v>
      </c>
      <c r="E40" s="35" t="n">
        <f aca="false">SUM(E36:E39)</f>
        <v>10806720</v>
      </c>
      <c r="F40" s="35" t="n">
        <f aca="false">SUM(F36:F39)</f>
        <v>6350880</v>
      </c>
      <c r="G40" s="36" t="n">
        <f aca="false">IF(D40&gt;0,F40/D40,0)</f>
        <v>0.357006017106932</v>
      </c>
    </row>
    <row r="42" customFormat="false" ht="15" hidden="false" customHeight="false" outlineLevel="0" collapsed="false">
      <c r="A42" s="17" t="s">
        <v>97</v>
      </c>
    </row>
  </sheetData>
  <dataValidations count="1">
    <dataValidation allowBlank="false" errorStyle="stop" operator="between" showDropDown="false" showErrorMessage="false" showInputMessage="false" sqref="B4" type="list">
      <formula1>"Low,Base,High"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0"/>
    <col collapsed="false" customWidth="true" hidden="false" outlineLevel="0" max="5" min="4" style="0" width="16"/>
    <col collapsed="false" customWidth="true" hidden="false" outlineLevel="0" max="7" min="6" style="0" width="12"/>
    <col collapsed="false" customWidth="true" hidden="false" outlineLevel="0" max="8" min="8" style="0" width="11"/>
    <col collapsed="false" customWidth="true" hidden="false" outlineLevel="0" max="9" min="9" style="0" width="14"/>
    <col collapsed="false" customWidth="true" hidden="false" outlineLevel="0" max="11" min="10" style="0" width="16"/>
    <col collapsed="false" customWidth="true" hidden="false" outlineLevel="0" max="12" min="12" style="0" width="18"/>
  </cols>
  <sheetData>
    <row r="1" customFormat="false" ht="17.35" hidden="false" customHeight="false" outlineLevel="0" collapsed="false">
      <c r="A1" s="16" t="s">
        <v>98</v>
      </c>
    </row>
    <row r="2" customFormat="false" ht="15" hidden="false" customHeight="false" outlineLevel="0" collapsed="false">
      <c r="A2" s="17" t="s">
        <v>99</v>
      </c>
    </row>
    <row r="5" customFormat="false" ht="45" hidden="false" customHeight="true" outlineLevel="0" collapsed="false">
      <c r="A5" s="7" t="s">
        <v>27</v>
      </c>
      <c r="B5" s="7" t="s">
        <v>100</v>
      </c>
      <c r="C5" s="7" t="s">
        <v>101</v>
      </c>
      <c r="D5" s="7" t="s">
        <v>102</v>
      </c>
      <c r="E5" s="7" t="s">
        <v>103</v>
      </c>
      <c r="F5" s="7" t="s">
        <v>104</v>
      </c>
      <c r="G5" s="7" t="s">
        <v>105</v>
      </c>
      <c r="H5" s="7" t="s">
        <v>106</v>
      </c>
      <c r="I5" s="7" t="s">
        <v>107</v>
      </c>
      <c r="J5" s="7" t="s">
        <v>108</v>
      </c>
      <c r="K5" s="7" t="s">
        <v>109</v>
      </c>
      <c r="L5" s="7" t="s">
        <v>110</v>
      </c>
    </row>
    <row r="6" customFormat="false" ht="15" hidden="false" customHeight="false" outlineLevel="0" collapsed="false">
      <c r="A6" s="37" t="str">
        <f aca="false">Tasks!A6</f>
        <v>T1 Support triage</v>
      </c>
      <c r="B6" s="38" t="s">
        <v>111</v>
      </c>
      <c r="C6" s="38" t="s">
        <v>112</v>
      </c>
      <c r="D6" s="39" t="n">
        <f aca="false">AVERAGEIFS(Calc!$K$6:$K$32,Calc!$A$6:$A$32,$A6,Calc!$C$6:$C$32,$B6)</f>
        <v>0.000466</v>
      </c>
      <c r="E6" s="39" t="n">
        <f aca="false">AVERAGEIFS(Calc!$K$6:$K$32,Calc!$A$6:$A$32,$A6,Calc!$C$6:$C$32,$C6)</f>
        <v>0.0034342875</v>
      </c>
      <c r="F6" s="22" t="n">
        <f aca="false">AVERAGEIFS(Calc!$L$6:$L$32,Calc!$A$6:$A$32,$A6,Calc!$C$6:$C$32,$B6)</f>
        <v>0.88</v>
      </c>
      <c r="G6" s="22" t="n">
        <f aca="false">AVERAGEIFS(Calc!$L$6:$L$32,Calc!$A$6:$A$32,$A6,Calc!$C$6:$C$32,$C6)</f>
        <v>0.95</v>
      </c>
      <c r="H6" s="22" t="n">
        <f aca="false">G6-F6</f>
        <v>0.0699999999999998</v>
      </c>
      <c r="I6" s="39" t="n">
        <f aca="false">E6-D6</f>
        <v>0.0029682875</v>
      </c>
      <c r="J6" s="40" t="n">
        <f aca="false">IF(H6&gt;0,I6/H6,"n/a")</f>
        <v>0.0424041071428572</v>
      </c>
      <c r="K6" s="41" t="n">
        <f aca="false">Tasks!I6</f>
        <v>2</v>
      </c>
      <c r="L6" s="31" t="str">
        <f aca="false">IF(H6&lt;=0,"No quality gain",IF(K6&gt;=J6,"Yes","No"))</f>
        <v>Yes</v>
      </c>
    </row>
    <row r="7" customFormat="false" ht="15" hidden="false" customHeight="false" outlineLevel="0" collapsed="false">
      <c r="A7" s="37" t="str">
        <f aca="false">Tasks!A6</f>
        <v>T1 Support triage</v>
      </c>
      <c r="B7" s="38" t="s">
        <v>112</v>
      </c>
      <c r="C7" s="38" t="s">
        <v>113</v>
      </c>
      <c r="D7" s="39" t="n">
        <f aca="false">AVERAGEIFS(Calc!$K$6:$K$32,Calc!$A$6:$A$32,$A7,Calc!$C$6:$C$32,$B7)</f>
        <v>0.0034342875</v>
      </c>
      <c r="E7" s="39" t="n">
        <f aca="false">AVERAGEIFS(Calc!$K$6:$K$32,Calc!$A$6:$A$32,$A7,Calc!$C$6:$C$32,$C7)</f>
        <v>0.015941525</v>
      </c>
      <c r="F7" s="22" t="n">
        <f aca="false">AVERAGEIFS(Calc!$L$6:$L$32,Calc!$A$6:$A$32,$A7,Calc!$C$6:$C$32,$B7)</f>
        <v>0.95</v>
      </c>
      <c r="G7" s="22" t="n">
        <f aca="false">AVERAGEIFS(Calc!$L$6:$L$32,Calc!$A$6:$A$32,$A7,Calc!$C$6:$C$32,$C7)</f>
        <v>0.97</v>
      </c>
      <c r="H7" s="22" t="n">
        <f aca="false">G7-F7</f>
        <v>0.0200000000000002</v>
      </c>
      <c r="I7" s="39" t="n">
        <f aca="false">E7-D7</f>
        <v>0.0125072375</v>
      </c>
      <c r="J7" s="40" t="n">
        <f aca="false">IF(H7&gt;0,I7/H7,"n/a")</f>
        <v>0.625361874999993</v>
      </c>
      <c r="K7" s="41" t="n">
        <f aca="false">Tasks!I6</f>
        <v>2</v>
      </c>
      <c r="L7" s="31" t="str">
        <f aca="false">IF(H7&lt;=0,"No quality gain",IF(K7&gt;=J7,"Yes","No"))</f>
        <v>Yes</v>
      </c>
    </row>
    <row r="8" customFormat="false" ht="15" hidden="false" customHeight="false" outlineLevel="0" collapsed="false">
      <c r="A8" s="37" t="str">
        <f aca="false">Tasks!A7</f>
        <v>T2 Document summary</v>
      </c>
      <c r="B8" s="38" t="s">
        <v>111</v>
      </c>
      <c r="C8" s="38" t="s">
        <v>112</v>
      </c>
      <c r="D8" s="39" t="n">
        <f aca="false">AVERAGEIFS(Calc!$K$6:$K$32,Calc!$A$6:$A$32,$A8,Calc!$C$6:$C$32,$B8)</f>
        <v>0.00206666666666667</v>
      </c>
      <c r="E8" s="39" t="n">
        <f aca="false">AVERAGEIFS(Calc!$K$6:$K$32,Calc!$A$6:$A$32,$A8,Calc!$C$6:$C$32,$C8)</f>
        <v>0.0184208333333333</v>
      </c>
      <c r="F8" s="22" t="n">
        <f aca="false">AVERAGEIFS(Calc!$L$6:$L$32,Calc!$A$6:$A$32,$A8,Calc!$C$6:$C$32,$B8)</f>
        <v>0.8</v>
      </c>
      <c r="G8" s="22" t="n">
        <f aca="false">AVERAGEIFS(Calc!$L$6:$L$32,Calc!$A$6:$A$32,$A8,Calc!$C$6:$C$32,$C8)</f>
        <v>0.92</v>
      </c>
      <c r="H8" s="22" t="n">
        <f aca="false">G8-F8</f>
        <v>0.12</v>
      </c>
      <c r="I8" s="39" t="n">
        <f aca="false">E8-D8</f>
        <v>0.0163541666666667</v>
      </c>
      <c r="J8" s="40" t="n">
        <f aca="false">IF(H8&gt;0,I8/H8,"n/a")</f>
        <v>0.136284722222222</v>
      </c>
      <c r="K8" s="41" t="n">
        <f aca="false">Tasks!I7</f>
        <v>8</v>
      </c>
      <c r="L8" s="31" t="str">
        <f aca="false">IF(H8&lt;=0,"No quality gain",IF(K8&gt;=J8,"Yes","No"))</f>
        <v>Yes</v>
      </c>
    </row>
    <row r="9" customFormat="false" ht="15" hidden="false" customHeight="false" outlineLevel="0" collapsed="false">
      <c r="A9" s="37" t="str">
        <f aca="false">Tasks!A7</f>
        <v>T2 Document summary</v>
      </c>
      <c r="B9" s="38" t="s">
        <v>112</v>
      </c>
      <c r="C9" s="38" t="s">
        <v>113</v>
      </c>
      <c r="D9" s="39" t="n">
        <f aca="false">AVERAGEIFS(Calc!$K$6:$K$32,Calc!$A$6:$A$32,$A9,Calc!$C$6:$C$32,$B9)</f>
        <v>0.0184208333333333</v>
      </c>
      <c r="E9" s="39" t="n">
        <f aca="false">AVERAGEIFS(Calc!$K$6:$K$32,Calc!$A$6:$A$32,$A9,Calc!$C$6:$C$32,$C9)</f>
        <v>0.0853916666666667</v>
      </c>
      <c r="F9" s="22" t="n">
        <f aca="false">AVERAGEIFS(Calc!$L$6:$L$32,Calc!$A$6:$A$32,$A9,Calc!$C$6:$C$32,$B9)</f>
        <v>0.92</v>
      </c>
      <c r="G9" s="22" t="n">
        <f aca="false">AVERAGEIFS(Calc!$L$6:$L$32,Calc!$A$6:$A$32,$A9,Calc!$C$6:$C$32,$C9)</f>
        <v>0.95</v>
      </c>
      <c r="H9" s="22" t="n">
        <f aca="false">G9-F9</f>
        <v>0.0299999999999998</v>
      </c>
      <c r="I9" s="39" t="n">
        <f aca="false">E9-D9</f>
        <v>0.0669708333333334</v>
      </c>
      <c r="J9" s="40" t="n">
        <f aca="false">IF(H9&gt;0,I9/H9,"n/a")</f>
        <v>2.23236111111113</v>
      </c>
      <c r="K9" s="41" t="n">
        <f aca="false">Tasks!I7</f>
        <v>8</v>
      </c>
      <c r="L9" s="31" t="str">
        <f aca="false">IF(H9&lt;=0,"No quality gain",IF(K9&gt;=J9,"Yes","No"))</f>
        <v>Yes</v>
      </c>
    </row>
    <row r="10" customFormat="false" ht="15" hidden="false" customHeight="false" outlineLevel="0" collapsed="false">
      <c r="A10" s="37" t="str">
        <f aca="false">Tasks!A8</f>
        <v>T3 Complex analysis</v>
      </c>
      <c r="B10" s="38" t="s">
        <v>111</v>
      </c>
      <c r="C10" s="38" t="s">
        <v>112</v>
      </c>
      <c r="D10" s="39" t="n">
        <f aca="false">AVERAGEIFS(Calc!$K$6:$K$32,Calc!$A$6:$A$32,$A10,Calc!$C$6:$C$32,$B10)</f>
        <v>0.0108666666666667</v>
      </c>
      <c r="E10" s="39" t="n">
        <f aca="false">AVERAGEIFS(Calc!$K$6:$K$32,Calc!$A$6:$A$32,$A10,Calc!$C$6:$C$32,$C10)</f>
        <v>0.0843966666666667</v>
      </c>
      <c r="F10" s="22" t="n">
        <f aca="false">AVERAGEIFS(Calc!$L$6:$L$32,Calc!$A$6:$A$32,$A10,Calc!$C$6:$C$32,$B10)</f>
        <v>0.35</v>
      </c>
      <c r="G10" s="22" t="n">
        <f aca="false">AVERAGEIFS(Calc!$L$6:$L$32,Calc!$A$6:$A$32,$A10,Calc!$C$6:$C$32,$C10)</f>
        <v>0.7</v>
      </c>
      <c r="H10" s="22" t="n">
        <f aca="false">G10-F10</f>
        <v>0.35</v>
      </c>
      <c r="I10" s="39" t="n">
        <f aca="false">E10-D10</f>
        <v>0.07353</v>
      </c>
      <c r="J10" s="40" t="n">
        <f aca="false">IF(H10&gt;0,I10/H10,"n/a")</f>
        <v>0.210085714285714</v>
      </c>
      <c r="K10" s="41" t="n">
        <f aca="false">Tasks!I8</f>
        <v>40</v>
      </c>
      <c r="L10" s="31" t="str">
        <f aca="false">IF(H10&lt;=0,"No quality gain",IF(K10&gt;=J10,"Yes","No"))</f>
        <v>Yes</v>
      </c>
    </row>
    <row r="11" customFormat="false" ht="15" hidden="false" customHeight="false" outlineLevel="0" collapsed="false">
      <c r="A11" s="37" t="str">
        <f aca="false">Tasks!A8</f>
        <v>T3 Complex analysis</v>
      </c>
      <c r="B11" s="38" t="s">
        <v>112</v>
      </c>
      <c r="C11" s="38" t="s">
        <v>113</v>
      </c>
      <c r="D11" s="39" t="n">
        <f aca="false">AVERAGEIFS(Calc!$K$6:$K$32,Calc!$A$6:$A$32,$A11,Calc!$C$6:$C$32,$B11)</f>
        <v>0.0843966666666667</v>
      </c>
      <c r="E11" s="39" t="n">
        <f aca="false">AVERAGEIFS(Calc!$K$6:$K$32,Calc!$A$6:$A$32,$A11,Calc!$C$6:$C$32,$C11)</f>
        <v>0.39242</v>
      </c>
      <c r="F11" s="22" t="n">
        <f aca="false">AVERAGEIFS(Calc!$L$6:$L$32,Calc!$A$6:$A$32,$A11,Calc!$C$6:$C$32,$B11)</f>
        <v>0.7</v>
      </c>
      <c r="G11" s="22" t="n">
        <f aca="false">AVERAGEIFS(Calc!$L$6:$L$32,Calc!$A$6:$A$32,$A11,Calc!$C$6:$C$32,$C11)</f>
        <v>0.88</v>
      </c>
      <c r="H11" s="22" t="n">
        <f aca="false">G11-F11</f>
        <v>0.18</v>
      </c>
      <c r="I11" s="39" t="n">
        <f aca="false">E11-D11</f>
        <v>0.308023333333333</v>
      </c>
      <c r="J11" s="40" t="n">
        <f aca="false">IF(H11&gt;0,I11/H11,"n/a")</f>
        <v>1.71124074074074</v>
      </c>
      <c r="K11" s="41" t="n">
        <f aca="false">Tasks!I8</f>
        <v>40</v>
      </c>
      <c r="L11" s="31" t="str">
        <f aca="false">IF(H11&lt;=0,"No quality gain",IF(K11&gt;=J11,"Yes","No"))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24"/>
    <col collapsed="false" customWidth="true" hidden="false" outlineLevel="0" max="5" min="4" style="1" width="11"/>
    <col collapsed="false" customWidth="true" hidden="false" outlineLevel="0" max="6" min="6" style="1" width="12"/>
    <col collapsed="false" customWidth="true" hidden="false" outlineLevel="0" max="8" min="7" style="1" width="11"/>
    <col collapsed="false" customWidth="true" hidden="false" outlineLevel="0" max="9" min="9" style="1" width="12"/>
    <col collapsed="false" customWidth="true" hidden="false" outlineLevel="0" max="11" min="10" style="1" width="11"/>
    <col collapsed="false" customWidth="true" hidden="false" outlineLevel="0" max="12" min="12" style="1" width="12"/>
    <col collapsed="false" customWidth="true" hidden="false" outlineLevel="0" max="13" min="13" style="1" width="13"/>
    <col collapsed="false" customWidth="true" hidden="false" outlineLevel="0" max="14" min="14" style="1" width="10"/>
    <col collapsed="false" customWidth="true" hidden="false" outlineLevel="0" max="15" min="15" style="1" width="11"/>
    <col collapsed="false" customWidth="true" hidden="false" outlineLevel="0" max="16" min="16" style="1" width="12"/>
    <col collapsed="false" customWidth="true" hidden="false" outlineLevel="0" max="17" min="17" style="1" width="70"/>
  </cols>
  <sheetData>
    <row r="1" customFormat="false" ht="17.25" hidden="false" customHeight="true" outlineLevel="0" collapsed="false">
      <c r="A1" s="2" t="s">
        <v>114</v>
      </c>
    </row>
    <row r="3" customFormat="false" ht="15" hidden="false" customHeight="true" outlineLevel="0" collapsed="false">
      <c r="A3" s="42" t="s">
        <v>115</v>
      </c>
      <c r="B3" s="19" t="s">
        <v>116</v>
      </c>
      <c r="C3" s="6" t="s">
        <v>117</v>
      </c>
    </row>
    <row r="5" customFormat="false" ht="45" hidden="false" customHeight="true" outlineLevel="0" collapsed="false">
      <c r="A5" s="7" t="s">
        <v>118</v>
      </c>
      <c r="B5" s="7" t="s">
        <v>119</v>
      </c>
      <c r="C5" s="7" t="s">
        <v>120</v>
      </c>
      <c r="D5" s="7" t="s">
        <v>121</v>
      </c>
      <c r="E5" s="7" t="s">
        <v>122</v>
      </c>
      <c r="F5" s="7" t="s">
        <v>123</v>
      </c>
      <c r="G5" s="7" t="s">
        <v>124</v>
      </c>
      <c r="H5" s="7" t="s">
        <v>125</v>
      </c>
      <c r="I5" s="7" t="s">
        <v>126</v>
      </c>
      <c r="J5" s="7" t="s">
        <v>127</v>
      </c>
      <c r="K5" s="7" t="s">
        <v>128</v>
      </c>
      <c r="L5" s="7" t="s">
        <v>129</v>
      </c>
      <c r="M5" s="7" t="s">
        <v>130</v>
      </c>
      <c r="N5" s="7" t="s">
        <v>131</v>
      </c>
      <c r="O5" s="7" t="s">
        <v>132</v>
      </c>
      <c r="P5" s="7" t="s">
        <v>133</v>
      </c>
      <c r="Q5" s="7" t="s">
        <v>134</v>
      </c>
    </row>
    <row r="6" customFormat="false" ht="30" hidden="false" customHeight="true" outlineLevel="0" collapsed="false">
      <c r="A6" s="9" t="s">
        <v>135</v>
      </c>
      <c r="B6" s="9" t="s">
        <v>111</v>
      </c>
      <c r="C6" s="9" t="s">
        <v>136</v>
      </c>
      <c r="D6" s="43" t="n">
        <v>0.1</v>
      </c>
      <c r="E6" s="43" t="n">
        <v>0.5</v>
      </c>
      <c r="F6" s="43" t="n">
        <v>0.01</v>
      </c>
      <c r="G6" s="44" t="n">
        <f aca="false">D6</f>
        <v>0.1</v>
      </c>
      <c r="H6" s="44" t="n">
        <f aca="false">E6</f>
        <v>0.5</v>
      </c>
      <c r="I6" s="44" t="n">
        <f aca="false">F6</f>
        <v>0.01</v>
      </c>
      <c r="J6" s="44" t="n">
        <f aca="false">IF($B$3="Y",G6,D6)</f>
        <v>0.1</v>
      </c>
      <c r="K6" s="44" t="n">
        <f aca="false">IF($B$3="Y",H6,E6)</f>
        <v>0.5</v>
      </c>
      <c r="L6" s="44" t="n">
        <f aca="false">IF($B$3="Y",I6,F6)</f>
        <v>0.01</v>
      </c>
      <c r="M6" s="45" t="n">
        <v>1.25</v>
      </c>
      <c r="N6" s="46" t="n">
        <v>0.5</v>
      </c>
      <c r="O6" s="47" t="n">
        <v>1</v>
      </c>
      <c r="P6" s="47" t="n">
        <v>1</v>
      </c>
      <c r="Q6" s="23" t="s">
        <v>137</v>
      </c>
    </row>
    <row r="7" customFormat="false" ht="30" hidden="false" customHeight="true" outlineLevel="0" collapsed="false">
      <c r="A7" s="9" t="s">
        <v>135</v>
      </c>
      <c r="B7" s="9" t="s">
        <v>112</v>
      </c>
      <c r="C7" s="9" t="s">
        <v>138</v>
      </c>
      <c r="D7" s="43" t="n">
        <v>2</v>
      </c>
      <c r="E7" s="43" t="n">
        <v>10</v>
      </c>
      <c r="F7" s="43" t="n">
        <v>0.1</v>
      </c>
      <c r="G7" s="44" t="n">
        <f aca="false">D7</f>
        <v>2</v>
      </c>
      <c r="H7" s="44" t="n">
        <f aca="false">E7</f>
        <v>10</v>
      </c>
      <c r="I7" s="44" t="n">
        <f aca="false">F7</f>
        <v>0.1</v>
      </c>
      <c r="J7" s="44" t="n">
        <f aca="false">IF($B$3="Y",G7,D7)</f>
        <v>2</v>
      </c>
      <c r="K7" s="44" t="n">
        <f aca="false">IF($B$3="Y",H7,E7)</f>
        <v>10</v>
      </c>
      <c r="L7" s="44" t="n">
        <f aca="false">IF($B$3="Y",I7,F7)</f>
        <v>0.1</v>
      </c>
      <c r="M7" s="45" t="n">
        <v>1.25</v>
      </c>
      <c r="N7" s="46" t="n">
        <v>0.5</v>
      </c>
      <c r="O7" s="47" t="n">
        <v>1</v>
      </c>
      <c r="P7" s="47" t="n">
        <v>1</v>
      </c>
      <c r="Q7" s="23" t="s">
        <v>139</v>
      </c>
    </row>
    <row r="8" customFormat="false" ht="30" hidden="false" customHeight="true" outlineLevel="0" collapsed="false">
      <c r="A8" s="9" t="s">
        <v>135</v>
      </c>
      <c r="B8" s="9" t="s">
        <v>113</v>
      </c>
      <c r="C8" s="9" t="s">
        <v>140</v>
      </c>
      <c r="D8" s="43" t="n">
        <v>10</v>
      </c>
      <c r="E8" s="43" t="n">
        <v>50</v>
      </c>
      <c r="F8" s="43" t="n">
        <v>0.25</v>
      </c>
      <c r="G8" s="44" t="n">
        <f aca="false">D8</f>
        <v>10</v>
      </c>
      <c r="H8" s="44" t="n">
        <f aca="false">E8</f>
        <v>50</v>
      </c>
      <c r="I8" s="44" t="n">
        <f aca="false">F8</f>
        <v>0.25</v>
      </c>
      <c r="J8" s="44" t="n">
        <f aca="false">IF($B$3="Y",G8,D8)</f>
        <v>10</v>
      </c>
      <c r="K8" s="44" t="n">
        <f aca="false">IF($B$3="Y",H8,E8)</f>
        <v>50</v>
      </c>
      <c r="L8" s="44" t="n">
        <f aca="false">IF($B$3="Y",I8,F8)</f>
        <v>0.25</v>
      </c>
      <c r="M8" s="45" t="n">
        <v>1.25</v>
      </c>
      <c r="N8" s="46" t="n">
        <v>0.5</v>
      </c>
      <c r="O8" s="47" t="n">
        <v>1</v>
      </c>
      <c r="P8" s="47" t="n">
        <v>1</v>
      </c>
      <c r="Q8" s="23" t="s">
        <v>141</v>
      </c>
    </row>
    <row r="9" customFormat="false" ht="30" hidden="false" customHeight="true" outlineLevel="0" collapsed="false">
      <c r="A9" s="9" t="s">
        <v>142</v>
      </c>
      <c r="B9" s="9" t="s">
        <v>111</v>
      </c>
      <c r="C9" s="9" t="s">
        <v>143</v>
      </c>
      <c r="D9" s="43" t="n">
        <v>0.1</v>
      </c>
      <c r="E9" s="43" t="n">
        <v>0.5</v>
      </c>
      <c r="F9" s="43" t="n">
        <v>0.01</v>
      </c>
      <c r="G9" s="44" t="n">
        <f aca="false">D9</f>
        <v>0.1</v>
      </c>
      <c r="H9" s="44" t="n">
        <f aca="false">E9</f>
        <v>0.5</v>
      </c>
      <c r="I9" s="44" t="n">
        <f aca="false">F9</f>
        <v>0.01</v>
      </c>
      <c r="J9" s="44" t="n">
        <f aca="false">IF($B$3="Y",G9,D9)</f>
        <v>0.1</v>
      </c>
      <c r="K9" s="44" t="n">
        <f aca="false">IF($B$3="Y",H9,E9)</f>
        <v>0.5</v>
      </c>
      <c r="L9" s="44" t="n">
        <f aca="false">IF($B$3="Y",I9,F9)</f>
        <v>0.01</v>
      </c>
      <c r="M9" s="45" t="n">
        <v>1.25</v>
      </c>
      <c r="N9" s="46" t="n">
        <v>0.5</v>
      </c>
      <c r="O9" s="47" t="n">
        <v>1</v>
      </c>
      <c r="P9" s="47" t="n">
        <v>1</v>
      </c>
      <c r="Q9" s="23" t="s">
        <v>144</v>
      </c>
    </row>
    <row r="10" customFormat="false" ht="30" hidden="false" customHeight="true" outlineLevel="0" collapsed="false">
      <c r="A10" s="9" t="s">
        <v>142</v>
      </c>
      <c r="B10" s="9" t="s">
        <v>112</v>
      </c>
      <c r="C10" s="9" t="s">
        <v>145</v>
      </c>
      <c r="D10" s="43" t="n">
        <v>2</v>
      </c>
      <c r="E10" s="43" t="n">
        <v>10</v>
      </c>
      <c r="F10" s="43" t="n">
        <v>0.1</v>
      </c>
      <c r="G10" s="44" t="n">
        <f aca="false">D10</f>
        <v>2</v>
      </c>
      <c r="H10" s="44" t="n">
        <f aca="false">E10</f>
        <v>10</v>
      </c>
      <c r="I10" s="44" t="n">
        <f aca="false">F10</f>
        <v>0.1</v>
      </c>
      <c r="J10" s="44" t="n">
        <f aca="false">IF($B$3="Y",G10,D10)</f>
        <v>2</v>
      </c>
      <c r="K10" s="44" t="n">
        <f aca="false">IF($B$3="Y",H10,E10)</f>
        <v>10</v>
      </c>
      <c r="L10" s="44" t="n">
        <f aca="false">IF($B$3="Y",I10,F10)</f>
        <v>0.1</v>
      </c>
      <c r="M10" s="45" t="n">
        <v>1.25</v>
      </c>
      <c r="N10" s="46" t="n">
        <v>0.5</v>
      </c>
      <c r="O10" s="47" t="n">
        <v>1</v>
      </c>
      <c r="P10" s="47" t="n">
        <v>1</v>
      </c>
      <c r="Q10" s="23" t="s">
        <v>146</v>
      </c>
    </row>
    <row r="11" customFormat="false" ht="30" hidden="false" customHeight="true" outlineLevel="0" collapsed="false">
      <c r="A11" s="9" t="s">
        <v>142</v>
      </c>
      <c r="B11" s="9" t="s">
        <v>113</v>
      </c>
      <c r="C11" s="9" t="s">
        <v>147</v>
      </c>
      <c r="D11" s="43" t="n">
        <v>10</v>
      </c>
      <c r="E11" s="43" t="n">
        <v>50</v>
      </c>
      <c r="F11" s="43" t="n">
        <v>1</v>
      </c>
      <c r="G11" s="44" t="n">
        <f aca="false">D11</f>
        <v>10</v>
      </c>
      <c r="H11" s="44" t="n">
        <f aca="false">E11</f>
        <v>50</v>
      </c>
      <c r="I11" s="44" t="n">
        <f aca="false">F11</f>
        <v>1</v>
      </c>
      <c r="J11" s="44" t="n">
        <f aca="false">IF($B$3="Y",G11,D11)</f>
        <v>10</v>
      </c>
      <c r="K11" s="44" t="n">
        <f aca="false">IF($B$3="Y",H11,E11)</f>
        <v>50</v>
      </c>
      <c r="L11" s="44" t="n">
        <f aca="false">IF($B$3="Y",I11,F11)</f>
        <v>1</v>
      </c>
      <c r="M11" s="45" t="n">
        <v>1.25</v>
      </c>
      <c r="N11" s="46" t="n">
        <v>0.5</v>
      </c>
      <c r="O11" s="47" t="n">
        <v>1</v>
      </c>
      <c r="P11" s="47" t="n">
        <v>1</v>
      </c>
      <c r="Q11" s="23" t="s">
        <v>148</v>
      </c>
    </row>
    <row r="12" customFormat="false" ht="30" hidden="false" customHeight="true" outlineLevel="0" collapsed="false">
      <c r="A12" s="9" t="s">
        <v>149</v>
      </c>
      <c r="B12" s="9" t="s">
        <v>111</v>
      </c>
      <c r="C12" s="9" t="s">
        <v>150</v>
      </c>
      <c r="D12" s="43" t="n">
        <v>0.3</v>
      </c>
      <c r="E12" s="43" t="n">
        <v>2.5</v>
      </c>
      <c r="F12" s="43" t="n">
        <v>0.03</v>
      </c>
      <c r="G12" s="44" t="n">
        <f aca="false">D12</f>
        <v>0.3</v>
      </c>
      <c r="H12" s="44" t="n">
        <f aca="false">E12</f>
        <v>2.5</v>
      </c>
      <c r="I12" s="44" t="n">
        <f aca="false">F12</f>
        <v>0.03</v>
      </c>
      <c r="J12" s="44" t="n">
        <f aca="false">IF($B$3="Y",G12,D12)</f>
        <v>0.3</v>
      </c>
      <c r="K12" s="44" t="n">
        <f aca="false">IF($B$3="Y",H12,E12)</f>
        <v>2.5</v>
      </c>
      <c r="L12" s="44" t="n">
        <f aca="false">IF($B$3="Y",I12,F12)</f>
        <v>0.03</v>
      </c>
      <c r="M12" s="45" t="n">
        <v>1</v>
      </c>
      <c r="N12" s="46" t="n">
        <v>0.5</v>
      </c>
      <c r="O12" s="47" t="n">
        <v>1</v>
      </c>
      <c r="P12" s="47" t="n">
        <v>1</v>
      </c>
      <c r="Q12" s="23" t="s">
        <v>151</v>
      </c>
    </row>
    <row r="13" customFormat="false" ht="30" hidden="false" customHeight="true" outlineLevel="0" collapsed="false">
      <c r="A13" s="9" t="s">
        <v>149</v>
      </c>
      <c r="B13" s="9" t="s">
        <v>112</v>
      </c>
      <c r="C13" s="9" t="s">
        <v>152</v>
      </c>
      <c r="D13" s="43" t="n">
        <v>0.75</v>
      </c>
      <c r="E13" s="43" t="n">
        <v>3.75</v>
      </c>
      <c r="F13" s="43" t="n">
        <v>0.075</v>
      </c>
      <c r="G13" s="43" t="n">
        <v>1.5</v>
      </c>
      <c r="H13" s="43" t="n">
        <v>7.5</v>
      </c>
      <c r="I13" s="43" t="n">
        <v>0.15</v>
      </c>
      <c r="J13" s="44" t="n">
        <f aca="false">IF($B$3="Y",G13,D13)</f>
        <v>0.75</v>
      </c>
      <c r="K13" s="44" t="n">
        <f aca="false">IF($B$3="Y",H13,E13)</f>
        <v>3.75</v>
      </c>
      <c r="L13" s="44" t="n">
        <f aca="false">IF($B$3="Y",I13,F13)</f>
        <v>0.075</v>
      </c>
      <c r="M13" s="45" t="n">
        <v>1</v>
      </c>
      <c r="N13" s="46" t="n">
        <v>0.5</v>
      </c>
      <c r="O13" s="47" t="n">
        <v>1</v>
      </c>
      <c r="P13" s="47" t="n">
        <v>1</v>
      </c>
      <c r="Q13" s="23" t="s">
        <v>153</v>
      </c>
    </row>
    <row r="14" customFormat="false" ht="30" hidden="false" customHeight="true" outlineLevel="0" collapsed="false">
      <c r="A14" s="9" t="s">
        <v>149</v>
      </c>
      <c r="B14" s="9" t="s">
        <v>113</v>
      </c>
      <c r="C14" s="9" t="s">
        <v>154</v>
      </c>
      <c r="D14" s="43" t="n">
        <v>2</v>
      </c>
      <c r="E14" s="43" t="n">
        <v>10</v>
      </c>
      <c r="F14" s="43" t="n">
        <v>0.1</v>
      </c>
      <c r="G14" s="43" t="n">
        <v>4</v>
      </c>
      <c r="H14" s="43" t="n">
        <v>20</v>
      </c>
      <c r="I14" s="43" t="n">
        <v>0.2</v>
      </c>
      <c r="J14" s="44" t="n">
        <f aca="false">IF($B$3="Y",G14,D14)</f>
        <v>2</v>
      </c>
      <c r="K14" s="44" t="n">
        <f aca="false">IF($B$3="Y",H14,E14)</f>
        <v>10</v>
      </c>
      <c r="L14" s="44" t="n">
        <f aca="false">IF($B$3="Y",I14,F14)</f>
        <v>0.1</v>
      </c>
      <c r="M14" s="45" t="n">
        <v>1</v>
      </c>
      <c r="N14" s="46" t="n">
        <v>0.5</v>
      </c>
      <c r="O14" s="47" t="n">
        <v>1</v>
      </c>
      <c r="P14" s="47" t="n">
        <v>1</v>
      </c>
      <c r="Q14" s="23" t="s">
        <v>155</v>
      </c>
    </row>
    <row r="16" customFormat="false" ht="15" hidden="false" customHeight="true" outlineLevel="0" collapsed="false">
      <c r="A16" s="6" t="s">
        <v>156</v>
      </c>
    </row>
  </sheetData>
  <dataValidations count="1">
    <dataValidation allowBlank="false" errorStyle="stop" operator="between" showDropDown="false" showErrorMessage="false" showInputMessage="false" sqref="B3"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8"/>
    <col collapsed="false" customWidth="true" hidden="false" outlineLevel="0" max="5" min="3" style="1" width="13"/>
    <col collapsed="false" customWidth="true" hidden="false" outlineLevel="0" max="6" min="6" style="1" width="15"/>
    <col collapsed="false" customWidth="true" hidden="false" outlineLevel="0" max="7" min="7" style="1" width="14"/>
    <col collapsed="false" customWidth="true" hidden="false" outlineLevel="0" max="8" min="8" style="1" width="12"/>
    <col collapsed="false" customWidth="true" hidden="false" outlineLevel="0" max="9" min="9" style="1" width="15"/>
    <col collapsed="false" customWidth="true" hidden="false" outlineLevel="0" max="10" min="10" style="1" width="13"/>
  </cols>
  <sheetData>
    <row r="1" customFormat="false" ht="17.25" hidden="false" customHeight="true" outlineLevel="0" collapsed="false">
      <c r="A1" s="2" t="s">
        <v>157</v>
      </c>
    </row>
    <row r="5" customFormat="false" ht="45" hidden="false" customHeight="true" outlineLevel="0" collapsed="false">
      <c r="A5" s="7" t="s">
        <v>27</v>
      </c>
      <c r="B5" s="7" t="s">
        <v>158</v>
      </c>
      <c r="C5" s="7" t="s">
        <v>159</v>
      </c>
      <c r="D5" s="7" t="s">
        <v>160</v>
      </c>
      <c r="E5" s="7" t="s">
        <v>161</v>
      </c>
      <c r="F5" s="7" t="s">
        <v>162</v>
      </c>
      <c r="G5" s="7" t="s">
        <v>163</v>
      </c>
      <c r="H5" s="7" t="s">
        <v>164</v>
      </c>
      <c r="I5" s="7" t="s">
        <v>165</v>
      </c>
      <c r="J5" s="7" t="s">
        <v>166</v>
      </c>
    </row>
    <row r="6" customFormat="false" ht="42" hidden="false" customHeight="true" outlineLevel="0" collapsed="false">
      <c r="A6" s="48" t="s">
        <v>167</v>
      </c>
      <c r="B6" s="49" t="s">
        <v>168</v>
      </c>
      <c r="C6" s="50" t="n">
        <v>1500</v>
      </c>
      <c r="D6" s="50" t="n">
        <v>300</v>
      </c>
      <c r="E6" s="46" t="n">
        <v>0.67</v>
      </c>
      <c r="F6" s="46" t="n">
        <v>0.9</v>
      </c>
      <c r="G6" s="50" t="n">
        <v>200000</v>
      </c>
      <c r="H6" s="38" t="s">
        <v>116</v>
      </c>
      <c r="I6" s="51" t="n">
        <v>2</v>
      </c>
      <c r="J6" s="52" t="n">
        <v>0.9</v>
      </c>
    </row>
    <row r="7" customFormat="false" ht="42" hidden="false" customHeight="true" outlineLevel="0" collapsed="false">
      <c r="A7" s="48" t="s">
        <v>169</v>
      </c>
      <c r="B7" s="49" t="s">
        <v>170</v>
      </c>
      <c r="C7" s="50" t="n">
        <v>20000</v>
      </c>
      <c r="D7" s="50" t="n">
        <v>800</v>
      </c>
      <c r="E7" s="46" t="n">
        <v>0.1</v>
      </c>
      <c r="F7" s="46" t="n">
        <v>0.5</v>
      </c>
      <c r="G7" s="50" t="n">
        <v>5000</v>
      </c>
      <c r="H7" s="38" t="s">
        <v>171</v>
      </c>
      <c r="I7" s="51" t="n">
        <v>8</v>
      </c>
      <c r="J7" s="52" t="n">
        <v>0.85</v>
      </c>
    </row>
    <row r="8" customFormat="false" ht="42" hidden="false" customHeight="true" outlineLevel="0" collapsed="false">
      <c r="A8" s="48" t="s">
        <v>172</v>
      </c>
      <c r="B8" s="49" t="s">
        <v>173</v>
      </c>
      <c r="C8" s="50" t="n">
        <v>40000</v>
      </c>
      <c r="D8" s="50" t="n">
        <v>6000</v>
      </c>
      <c r="E8" s="46" t="n">
        <v>0.7</v>
      </c>
      <c r="F8" s="46" t="n">
        <v>0.7</v>
      </c>
      <c r="G8" s="50" t="n">
        <v>1000</v>
      </c>
      <c r="H8" s="38" t="s">
        <v>116</v>
      </c>
      <c r="I8" s="51" t="n">
        <v>40</v>
      </c>
      <c r="J8" s="52" t="n">
        <v>0.8</v>
      </c>
    </row>
    <row r="10" customFormat="false" ht="15" hidden="false" customHeight="true" outlineLevel="0" collapsed="false">
      <c r="A10" s="6" t="s">
        <v>174</v>
      </c>
    </row>
    <row r="11" customFormat="false" ht="15" hidden="false" customHeight="true" outlineLevel="0" collapsed="false">
      <c r="A11" s="6" t="s">
        <v>175</v>
      </c>
    </row>
  </sheetData>
  <dataValidations count="1">
    <dataValidation allowBlank="false" errorStyle="stop" operator="between" showDropDown="false" showErrorMessage="false" showInputMessage="false" sqref="H6:H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24"/>
    <col collapsed="false" customWidth="true" hidden="false" outlineLevel="0" max="6" min="4" style="1" width="22"/>
  </cols>
  <sheetData>
    <row r="1" customFormat="false" ht="17.25" hidden="false" customHeight="true" outlineLevel="0" collapsed="false">
      <c r="A1" s="2" t="s">
        <v>176</v>
      </c>
    </row>
    <row r="3" customFormat="false" ht="15" hidden="false" customHeight="true" outlineLevel="0" collapsed="false">
      <c r="A3" s="6" t="s">
        <v>177</v>
      </c>
    </row>
    <row r="5" customFormat="false" ht="45" hidden="false" customHeight="true" outlineLevel="0" collapsed="false">
      <c r="A5" s="7" t="s">
        <v>118</v>
      </c>
      <c r="B5" s="7" t="s">
        <v>119</v>
      </c>
      <c r="C5" s="7" t="s">
        <v>120</v>
      </c>
      <c r="D5" s="7" t="str">
        <f aca="false">Tasks!A6</f>
        <v>T1 Support triage</v>
      </c>
      <c r="E5" s="7" t="str">
        <f aca="false">Tasks!A7</f>
        <v>T2 Document summary</v>
      </c>
      <c r="F5" s="7" t="str">
        <f aca="false">Tasks!A8</f>
        <v>T3 Complex analysis</v>
      </c>
    </row>
    <row r="6" customFormat="false" ht="15" hidden="false" customHeight="true" outlineLevel="0" collapsed="false">
      <c r="A6" s="8" t="str">
        <f aca="false">Prices!A6</f>
        <v>Anthropic</v>
      </c>
      <c r="B6" s="8" t="str">
        <f aca="false">Prices!B6</f>
        <v>Small</v>
      </c>
      <c r="C6" s="8" t="str">
        <f aca="false">Prices!C6</f>
        <v>Claude Haiku 5.5</v>
      </c>
      <c r="D6" s="52" t="n">
        <v>0.88</v>
      </c>
      <c r="E6" s="52" t="n">
        <v>0.8</v>
      </c>
      <c r="F6" s="52" t="n">
        <v>0.35</v>
      </c>
    </row>
    <row r="7" customFormat="false" ht="15" hidden="false" customHeight="true" outlineLevel="0" collapsed="false">
      <c r="A7" s="8" t="str">
        <f aca="false">Prices!A7</f>
        <v>Anthropic</v>
      </c>
      <c r="B7" s="8" t="str">
        <f aca="false">Prices!B7</f>
        <v>Mid</v>
      </c>
      <c r="C7" s="8" t="str">
        <f aca="false">Prices!C7</f>
        <v>Claude Sonnet 5.5</v>
      </c>
      <c r="D7" s="52" t="n">
        <v>0.95</v>
      </c>
      <c r="E7" s="52" t="n">
        <v>0.92</v>
      </c>
      <c r="F7" s="52" t="n">
        <v>0.7</v>
      </c>
    </row>
    <row r="8" customFormat="false" ht="15" hidden="false" customHeight="true" outlineLevel="0" collapsed="false">
      <c r="A8" s="8" t="str">
        <f aca="false">Prices!A8</f>
        <v>Anthropic</v>
      </c>
      <c r="B8" s="8" t="str">
        <f aca="false">Prices!B8</f>
        <v>Flagship</v>
      </c>
      <c r="C8" s="8" t="str">
        <f aca="false">Prices!C8</f>
        <v>Claude Fable 5.1</v>
      </c>
      <c r="D8" s="52" t="n">
        <v>0.97</v>
      </c>
      <c r="E8" s="52" t="n">
        <v>0.95</v>
      </c>
      <c r="F8" s="52" t="n">
        <v>0.88</v>
      </c>
    </row>
    <row r="9" customFormat="false" ht="15" hidden="false" customHeight="true" outlineLevel="0" collapsed="false">
      <c r="A9" s="8" t="str">
        <f aca="false">Prices!A9</f>
        <v>OpenAI</v>
      </c>
      <c r="B9" s="8" t="str">
        <f aca="false">Prices!B9</f>
        <v>Small</v>
      </c>
      <c r="C9" s="8" t="str">
        <f aca="false">Prices!C9</f>
        <v>gpt-6-luna</v>
      </c>
      <c r="D9" s="52" t="n">
        <v>0.88</v>
      </c>
      <c r="E9" s="52" t="n">
        <v>0.8</v>
      </c>
      <c r="F9" s="52" t="n">
        <v>0.35</v>
      </c>
    </row>
    <row r="10" customFormat="false" ht="15" hidden="false" customHeight="true" outlineLevel="0" collapsed="false">
      <c r="A10" s="8" t="str">
        <f aca="false">Prices!A10</f>
        <v>OpenAI</v>
      </c>
      <c r="B10" s="8" t="str">
        <f aca="false">Prices!B10</f>
        <v>Mid</v>
      </c>
      <c r="C10" s="8" t="str">
        <f aca="false">Prices!C10</f>
        <v>gpt-6.1-sol</v>
      </c>
      <c r="D10" s="52" t="n">
        <v>0.95</v>
      </c>
      <c r="E10" s="52" t="n">
        <v>0.92</v>
      </c>
      <c r="F10" s="52" t="n">
        <v>0.7</v>
      </c>
    </row>
    <row r="11" customFormat="false" ht="15" hidden="false" customHeight="true" outlineLevel="0" collapsed="false">
      <c r="A11" s="8" t="str">
        <f aca="false">Prices!A11</f>
        <v>OpenAI</v>
      </c>
      <c r="B11" s="8" t="str">
        <f aca="false">Prices!B11</f>
        <v>Flagship</v>
      </c>
      <c r="C11" s="8" t="str">
        <f aca="false">Prices!C11</f>
        <v>gpt-6-astra</v>
      </c>
      <c r="D11" s="52" t="n">
        <v>0.97</v>
      </c>
      <c r="E11" s="52" t="n">
        <v>0.95</v>
      </c>
      <c r="F11" s="52" t="n">
        <v>0.88</v>
      </c>
    </row>
    <row r="12" customFormat="false" ht="15" hidden="false" customHeight="true" outlineLevel="0" collapsed="false">
      <c r="A12" s="8" t="str">
        <f aca="false">Prices!A12</f>
        <v>Google</v>
      </c>
      <c r="B12" s="8" t="str">
        <f aca="false">Prices!B12</f>
        <v>Small</v>
      </c>
      <c r="C12" s="8" t="str">
        <f aca="false">Prices!C12</f>
        <v>Gemini 3.5 Flash-Lite</v>
      </c>
      <c r="D12" s="52" t="n">
        <v>0.88</v>
      </c>
      <c r="E12" s="52" t="n">
        <v>0.8</v>
      </c>
      <c r="F12" s="52" t="n">
        <v>0.35</v>
      </c>
    </row>
    <row r="13" customFormat="false" ht="15" hidden="false" customHeight="true" outlineLevel="0" collapsed="false">
      <c r="A13" s="8" t="str">
        <f aca="false">Prices!A13</f>
        <v>Google</v>
      </c>
      <c r="B13" s="8" t="str">
        <f aca="false">Prices!B13</f>
        <v>Mid</v>
      </c>
      <c r="C13" s="8" t="str">
        <f aca="false">Prices!C13</f>
        <v>Gemini 3.8 Flash</v>
      </c>
      <c r="D13" s="52" t="n">
        <v>0.95</v>
      </c>
      <c r="E13" s="52" t="n">
        <v>0.92</v>
      </c>
      <c r="F13" s="52" t="n">
        <v>0.7</v>
      </c>
    </row>
    <row r="14" customFormat="false" ht="15" hidden="false" customHeight="true" outlineLevel="0" collapsed="false">
      <c r="A14" s="8" t="str">
        <f aca="false">Prices!A14</f>
        <v>Google</v>
      </c>
      <c r="B14" s="8" t="str">
        <f aca="false">Prices!B14</f>
        <v>Flagship</v>
      </c>
      <c r="C14" s="8" t="str">
        <f aca="false">Prices!C14</f>
        <v>Gemini 4 Argon</v>
      </c>
      <c r="D14" s="52" t="n">
        <v>0.97</v>
      </c>
      <c r="E14" s="52" t="n">
        <v>0.95</v>
      </c>
      <c r="F14" s="52" t="n">
        <v>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1"/>
    <col collapsed="false" customWidth="true" hidden="false" outlineLevel="0" max="3" min="3" style="1" width="10"/>
    <col collapsed="false" customWidth="true" hidden="false" outlineLevel="0" max="4" min="4" style="1" width="24"/>
    <col collapsed="false" customWidth="true" hidden="false" outlineLevel="0" max="10" min="5" style="1" width="12"/>
    <col collapsed="false" customWidth="true" hidden="false" outlineLevel="0" max="11" min="11" style="1" width="15"/>
    <col collapsed="false" customWidth="true" hidden="false" outlineLevel="0" max="12" min="12" style="1" width="10"/>
    <col collapsed="false" customWidth="true" hidden="false" outlineLevel="0" max="13" min="13" style="1" width="12"/>
    <col collapsed="false" customWidth="true" hidden="false" outlineLevel="0" max="14" min="14" style="1" width="14"/>
    <col collapsed="false" customWidth="true" hidden="false" outlineLevel="0" max="16" min="15" style="1" width="17"/>
    <col collapsed="false" customWidth="true" hidden="false" outlineLevel="0" max="17" min="17" style="1" width="14"/>
    <col collapsed="false" customWidth="true" hidden="false" outlineLevel="0" max="18" min="18" style="1" width="15"/>
  </cols>
  <sheetData>
    <row r="1" customFormat="false" ht="17.25" hidden="false" customHeight="true" outlineLevel="0" collapsed="false">
      <c r="A1" s="2" t="s">
        <v>178</v>
      </c>
    </row>
    <row r="2" customFormat="false" ht="15" hidden="false" customHeight="true" outlineLevel="0" collapsed="false">
      <c r="A2" s="6" t="s">
        <v>179</v>
      </c>
    </row>
    <row r="5" customFormat="false" ht="45" hidden="false" customHeight="true" outlineLevel="0" collapsed="false">
      <c r="A5" s="7" t="s">
        <v>27</v>
      </c>
      <c r="B5" s="7" t="s">
        <v>118</v>
      </c>
      <c r="C5" s="7" t="s">
        <v>119</v>
      </c>
      <c r="D5" s="7" t="s">
        <v>120</v>
      </c>
      <c r="E5" s="7" t="s">
        <v>180</v>
      </c>
      <c r="F5" s="7" t="s">
        <v>181</v>
      </c>
      <c r="G5" s="7" t="s">
        <v>182</v>
      </c>
      <c r="H5" s="7" t="s">
        <v>183</v>
      </c>
      <c r="I5" s="7" t="s">
        <v>184</v>
      </c>
      <c r="J5" s="7" t="s">
        <v>185</v>
      </c>
      <c r="K5" s="7" t="s">
        <v>186</v>
      </c>
      <c r="L5" s="7" t="s">
        <v>187</v>
      </c>
      <c r="M5" s="7" t="s">
        <v>188</v>
      </c>
      <c r="N5" s="7" t="s">
        <v>189</v>
      </c>
      <c r="O5" s="7" t="s">
        <v>190</v>
      </c>
      <c r="P5" s="7" t="s">
        <v>191</v>
      </c>
      <c r="Q5" s="7" t="s">
        <v>192</v>
      </c>
      <c r="R5" s="7" t="s">
        <v>193</v>
      </c>
    </row>
    <row r="6" customFormat="false" ht="15" hidden="false" customHeight="true" outlineLevel="0" collapsed="false">
      <c r="A6" s="8" t="str">
        <f aca="false">Tasks!A6</f>
        <v>T1 Support triage</v>
      </c>
      <c r="B6" s="8" t="str">
        <f aca="false">Prices!A6</f>
        <v>Anthropic</v>
      </c>
      <c r="C6" s="8" t="str">
        <f aca="false">Prices!B6</f>
        <v>Small</v>
      </c>
      <c r="D6" s="8" t="str">
        <f aca="false">Prices!C6</f>
        <v>Claude Haiku 5.5</v>
      </c>
      <c r="E6" s="53" t="n">
        <f aca="false">Tasks!C6*Prices!O6</f>
        <v>1500</v>
      </c>
      <c r="F6" s="53" t="n">
        <f aca="false">Tasks!D6*Prices!O6*Prices!P6</f>
        <v>300</v>
      </c>
      <c r="G6" s="10" t="n">
        <f aca="false">(E6*Prices!J6+F6*Prices!K6)/1000000</f>
        <v>0.0003</v>
      </c>
      <c r="H6" s="10" t="n">
        <f aca="false">(E6*(1-Tasks!E6)*Prices!J6+E6*Tasks!E6*(Tasks!F6*Prices!L6+(1-Tasks!F6)*Prices!J6*Prices!M6)+F6*Prices!K6)/1000000</f>
        <v>0.0002211075</v>
      </c>
      <c r="I6" s="10" t="n">
        <f aca="false">G6*(1-Prices!N6)</f>
        <v>0.00015</v>
      </c>
      <c r="J6" s="10" t="n">
        <f aca="false">H6*(1-Prices!N6)</f>
        <v>0.00011055375</v>
      </c>
      <c r="K6" s="10" t="n">
        <f aca="false">IF(Tasks!H6="Y",MIN(G6:J6),MIN(G6:H6))</f>
        <v>0.0002211075</v>
      </c>
      <c r="L6" s="54" t="n">
        <f aca="false">Quality!D6</f>
        <v>0.88</v>
      </c>
      <c r="M6" s="15" t="str">
        <f aca="false">IF(L6&gt;=Tasks!J6,"Yes","No")</f>
        <v>No</v>
      </c>
      <c r="N6" s="10" t="n">
        <f aca="false">IF(L6&gt;0,K6/L6,0)</f>
        <v>0.000251258522727273</v>
      </c>
      <c r="O6" s="10" t="n">
        <f aca="false">K6+(1-L6)*Tasks!I6</f>
        <v>0.2402211075</v>
      </c>
      <c r="P6" s="55" t="n">
        <f aca="false">IF(M6="Yes",O6,1000000000)</f>
        <v>1000000000</v>
      </c>
      <c r="Q6" s="13" t="n">
        <f aca="false">K6*Tasks!G6</f>
        <v>44.2215</v>
      </c>
      <c r="R6" s="13" t="n">
        <f aca="false">O6*Tasks!G6</f>
        <v>48044.2215</v>
      </c>
    </row>
    <row r="7" customFormat="false" ht="15" hidden="false" customHeight="true" outlineLevel="0" collapsed="false">
      <c r="A7" s="8" t="str">
        <f aca="false">Tasks!A6</f>
        <v>T1 Support triage</v>
      </c>
      <c r="B7" s="8" t="str">
        <f aca="false">Prices!A7</f>
        <v>Anthropic</v>
      </c>
      <c r="C7" s="8" t="str">
        <f aca="false">Prices!B7</f>
        <v>Mid</v>
      </c>
      <c r="D7" s="8" t="str">
        <f aca="false">Prices!C7</f>
        <v>Claude Sonnet 5.5</v>
      </c>
      <c r="E7" s="53" t="n">
        <f aca="false">Tasks!C6*Prices!O7</f>
        <v>1500</v>
      </c>
      <c r="F7" s="53" t="n">
        <f aca="false">Tasks!D6*Prices!O7*Prices!P7</f>
        <v>300</v>
      </c>
      <c r="G7" s="10" t="n">
        <f aca="false">(E7*Prices!J7+F7*Prices!K7)/1000000</f>
        <v>0.006</v>
      </c>
      <c r="H7" s="10" t="n">
        <f aca="false">(E7*(1-Tasks!E6)*Prices!J7+E7*Tasks!E6*(Tasks!F6*Prices!L7+(1-Tasks!F6)*Prices!J7*Prices!M7)+F7*Prices!K7)/1000000</f>
        <v>0.0043317</v>
      </c>
      <c r="I7" s="10" t="n">
        <f aca="false">G7*(1-Prices!N7)</f>
        <v>0.003</v>
      </c>
      <c r="J7" s="10" t="n">
        <f aca="false">H7*(1-Prices!N7)</f>
        <v>0.00216585</v>
      </c>
      <c r="K7" s="10" t="n">
        <f aca="false">IF(Tasks!H6="Y",MIN(G7:J7),MIN(G7:H7))</f>
        <v>0.0043317</v>
      </c>
      <c r="L7" s="54" t="n">
        <f aca="false">Quality!D7</f>
        <v>0.95</v>
      </c>
      <c r="M7" s="15" t="str">
        <f aca="false">IF(L7&gt;=Tasks!J6,"Yes","No")</f>
        <v>Yes</v>
      </c>
      <c r="N7" s="10" t="n">
        <f aca="false">IF(L7&gt;0,K7/L7,0)</f>
        <v>0.00455968421052632</v>
      </c>
      <c r="O7" s="10" t="n">
        <f aca="false">K7+(1-L7)*Tasks!I6</f>
        <v>0.1043317</v>
      </c>
      <c r="P7" s="55" t="n">
        <f aca="false">IF(M7="Yes",O7,1000000000)</f>
        <v>0.1043317</v>
      </c>
      <c r="Q7" s="13" t="n">
        <f aca="false">K7*Tasks!G6</f>
        <v>866.34</v>
      </c>
      <c r="R7" s="13" t="n">
        <f aca="false">O7*Tasks!G6</f>
        <v>20866.34</v>
      </c>
    </row>
    <row r="8" customFormat="false" ht="15" hidden="false" customHeight="true" outlineLevel="0" collapsed="false">
      <c r="A8" s="8" t="str">
        <f aca="false">Tasks!A6</f>
        <v>T1 Support triage</v>
      </c>
      <c r="B8" s="8" t="str">
        <f aca="false">Prices!A8</f>
        <v>Anthropic</v>
      </c>
      <c r="C8" s="8" t="str">
        <f aca="false">Prices!B8</f>
        <v>Flagship</v>
      </c>
      <c r="D8" s="8" t="str">
        <f aca="false">Prices!C8</f>
        <v>Claude Fable 5.1</v>
      </c>
      <c r="E8" s="53" t="n">
        <f aca="false">Tasks!C6*Prices!O8</f>
        <v>1500</v>
      </c>
      <c r="F8" s="53" t="n">
        <f aca="false">Tasks!D6*Prices!O8*Prices!P8</f>
        <v>300</v>
      </c>
      <c r="G8" s="10" t="n">
        <f aca="false">(E8*Prices!J8+F8*Prices!K8)/1000000</f>
        <v>0.03</v>
      </c>
      <c r="H8" s="10" t="n">
        <f aca="false">(E8*(1-Tasks!E6)*Prices!J8+E8*Tasks!E6*(Tasks!F6*Prices!L8+(1-Tasks!F6)*Prices!J8*Prices!M8)+F8*Prices!K8)/1000000</f>
        <v>0.021432375</v>
      </c>
      <c r="I8" s="10" t="n">
        <f aca="false">G8*(1-Prices!N8)</f>
        <v>0.015</v>
      </c>
      <c r="J8" s="10" t="n">
        <f aca="false">H8*(1-Prices!N8)</f>
        <v>0.0107161875</v>
      </c>
      <c r="K8" s="10" t="n">
        <f aca="false">IF(Tasks!H6="Y",MIN(G8:J8),MIN(G8:H8))</f>
        <v>0.021432375</v>
      </c>
      <c r="L8" s="54" t="n">
        <f aca="false">Quality!D8</f>
        <v>0.97</v>
      </c>
      <c r="M8" s="15" t="str">
        <f aca="false">IF(L8&gt;=Tasks!J6,"Yes","No")</f>
        <v>Yes</v>
      </c>
      <c r="N8" s="10" t="n">
        <f aca="false">IF(L8&gt;0,K8/L8,0)</f>
        <v>0.0220952319587629</v>
      </c>
      <c r="O8" s="10" t="n">
        <f aca="false">K8+(1-L8)*Tasks!I6</f>
        <v>0.0814323750000001</v>
      </c>
      <c r="P8" s="55" t="n">
        <f aca="false">IF(M8="Yes",O8,1000000000)</f>
        <v>0.0814323750000001</v>
      </c>
      <c r="Q8" s="13" t="n">
        <f aca="false">K8*Tasks!G6</f>
        <v>4286.475</v>
      </c>
      <c r="R8" s="13" t="n">
        <f aca="false">O8*Tasks!G6</f>
        <v>16286.475</v>
      </c>
    </row>
    <row r="9" customFormat="false" ht="15" hidden="false" customHeight="true" outlineLevel="0" collapsed="false">
      <c r="A9" s="8" t="str">
        <f aca="false">Tasks!A6</f>
        <v>T1 Support triage</v>
      </c>
      <c r="B9" s="8" t="str">
        <f aca="false">Prices!A9</f>
        <v>OpenAI</v>
      </c>
      <c r="C9" s="8" t="str">
        <f aca="false">Prices!B9</f>
        <v>Small</v>
      </c>
      <c r="D9" s="8" t="str">
        <f aca="false">Prices!C9</f>
        <v>gpt-6-luna</v>
      </c>
      <c r="E9" s="53" t="n">
        <f aca="false">Tasks!C6*Prices!O9</f>
        <v>1500</v>
      </c>
      <c r="F9" s="53" t="n">
        <f aca="false">Tasks!D6*Prices!O9*Prices!P9</f>
        <v>300</v>
      </c>
      <c r="G9" s="10" t="n">
        <f aca="false">(E9*Prices!J9+F9*Prices!K9)/1000000</f>
        <v>0.0003</v>
      </c>
      <c r="H9" s="10" t="n">
        <f aca="false">(E9*(1-Tasks!E6)*Prices!J9+E9*Tasks!E6*(Tasks!F6*Prices!L9+(1-Tasks!F6)*Prices!J9*Prices!M9)+F9*Prices!K9)/1000000</f>
        <v>0.0002211075</v>
      </c>
      <c r="I9" s="10" t="n">
        <f aca="false">G9*(1-Prices!N9)</f>
        <v>0.00015</v>
      </c>
      <c r="J9" s="10" t="n">
        <f aca="false">H9*(1-Prices!N9)</f>
        <v>0.00011055375</v>
      </c>
      <c r="K9" s="10" t="n">
        <f aca="false">IF(Tasks!H6="Y",MIN(G9:J9),MIN(G9:H9))</f>
        <v>0.0002211075</v>
      </c>
      <c r="L9" s="54" t="n">
        <f aca="false">Quality!D9</f>
        <v>0.88</v>
      </c>
      <c r="M9" s="15" t="str">
        <f aca="false">IF(L9&gt;=Tasks!J6,"Yes","No")</f>
        <v>No</v>
      </c>
      <c r="N9" s="10" t="n">
        <f aca="false">IF(L9&gt;0,K9/L9,0)</f>
        <v>0.000251258522727273</v>
      </c>
      <c r="O9" s="10" t="n">
        <f aca="false">K9+(1-L9)*Tasks!I6</f>
        <v>0.2402211075</v>
      </c>
      <c r="P9" s="55" t="n">
        <f aca="false">IF(M9="Yes",O9,1000000000)</f>
        <v>1000000000</v>
      </c>
      <c r="Q9" s="13" t="n">
        <f aca="false">K9*Tasks!G6</f>
        <v>44.2215</v>
      </c>
      <c r="R9" s="13" t="n">
        <f aca="false">O9*Tasks!G6</f>
        <v>48044.2215</v>
      </c>
    </row>
    <row r="10" customFormat="false" ht="15" hidden="false" customHeight="true" outlineLevel="0" collapsed="false">
      <c r="A10" s="8" t="str">
        <f aca="false">Tasks!A6</f>
        <v>T1 Support triage</v>
      </c>
      <c r="B10" s="8" t="str">
        <f aca="false">Prices!A10</f>
        <v>OpenAI</v>
      </c>
      <c r="C10" s="8" t="str">
        <f aca="false">Prices!B10</f>
        <v>Mid</v>
      </c>
      <c r="D10" s="8" t="str">
        <f aca="false">Prices!C10</f>
        <v>gpt-6.1-sol</v>
      </c>
      <c r="E10" s="53" t="n">
        <f aca="false">Tasks!C6*Prices!O10</f>
        <v>1500</v>
      </c>
      <c r="F10" s="53" t="n">
        <f aca="false">Tasks!D6*Prices!O10*Prices!P10</f>
        <v>300</v>
      </c>
      <c r="G10" s="10" t="n">
        <f aca="false">(E10*Prices!J10+F10*Prices!K10)/1000000</f>
        <v>0.006</v>
      </c>
      <c r="H10" s="10" t="n">
        <f aca="false">(E10*(1-Tasks!E6)*Prices!J10+E10*Tasks!E6*(Tasks!F6*Prices!L10+(1-Tasks!F6)*Prices!J10*Prices!M10)+F10*Prices!K10)/1000000</f>
        <v>0.0043317</v>
      </c>
      <c r="I10" s="10" t="n">
        <f aca="false">G10*(1-Prices!N10)</f>
        <v>0.003</v>
      </c>
      <c r="J10" s="10" t="n">
        <f aca="false">H10*(1-Prices!N10)</f>
        <v>0.00216585</v>
      </c>
      <c r="K10" s="10" t="n">
        <f aca="false">IF(Tasks!H6="Y",MIN(G10:J10),MIN(G10:H10))</f>
        <v>0.0043317</v>
      </c>
      <c r="L10" s="54" t="n">
        <f aca="false">Quality!D10</f>
        <v>0.95</v>
      </c>
      <c r="M10" s="15" t="str">
        <f aca="false">IF(L10&gt;=Tasks!J6,"Yes","No")</f>
        <v>Yes</v>
      </c>
      <c r="N10" s="10" t="n">
        <f aca="false">IF(L10&gt;0,K10/L10,0)</f>
        <v>0.00455968421052632</v>
      </c>
      <c r="O10" s="10" t="n">
        <f aca="false">K10+(1-L10)*Tasks!I6</f>
        <v>0.1043317</v>
      </c>
      <c r="P10" s="55" t="n">
        <f aca="false">IF(M10="Yes",O10,1000000000)</f>
        <v>0.1043317</v>
      </c>
      <c r="Q10" s="13" t="n">
        <f aca="false">K10*Tasks!G6</f>
        <v>866.34</v>
      </c>
      <c r="R10" s="13" t="n">
        <f aca="false">O10*Tasks!G6</f>
        <v>20866.34</v>
      </c>
    </row>
    <row r="11" customFormat="false" ht="15" hidden="false" customHeight="true" outlineLevel="0" collapsed="false">
      <c r="A11" s="8" t="str">
        <f aca="false">Tasks!A6</f>
        <v>T1 Support triage</v>
      </c>
      <c r="B11" s="8" t="str">
        <f aca="false">Prices!A11</f>
        <v>OpenAI</v>
      </c>
      <c r="C11" s="8" t="str">
        <f aca="false">Prices!B11</f>
        <v>Flagship</v>
      </c>
      <c r="D11" s="8" t="str">
        <f aca="false">Prices!C11</f>
        <v>gpt-6-astra</v>
      </c>
      <c r="E11" s="53" t="n">
        <f aca="false">Tasks!C6*Prices!O11</f>
        <v>1500</v>
      </c>
      <c r="F11" s="53" t="n">
        <f aca="false">Tasks!D6*Prices!O11*Prices!P11</f>
        <v>300</v>
      </c>
      <c r="G11" s="10" t="n">
        <f aca="false">(E11*Prices!J11+F11*Prices!K11)/1000000</f>
        <v>0.03</v>
      </c>
      <c r="H11" s="10" t="n">
        <f aca="false">(E11*(1-Tasks!E6)*Prices!J11+E11*Tasks!E6*(Tasks!F6*Prices!L11+(1-Tasks!F6)*Prices!J11*Prices!M11)+F11*Prices!K11)/1000000</f>
        <v>0.02211075</v>
      </c>
      <c r="I11" s="10" t="n">
        <f aca="false">G11*(1-Prices!N11)</f>
        <v>0.015</v>
      </c>
      <c r="J11" s="10" t="n">
        <f aca="false">H11*(1-Prices!N11)</f>
        <v>0.011055375</v>
      </c>
      <c r="K11" s="10" t="n">
        <f aca="false">IF(Tasks!H6="Y",MIN(G11:J11),MIN(G11:H11))</f>
        <v>0.02211075</v>
      </c>
      <c r="L11" s="54" t="n">
        <f aca="false">Quality!D11</f>
        <v>0.97</v>
      </c>
      <c r="M11" s="15" t="str">
        <f aca="false">IF(L11&gt;=Tasks!J6,"Yes","No")</f>
        <v>Yes</v>
      </c>
      <c r="N11" s="10" t="n">
        <f aca="false">IF(L11&gt;0,K11/L11,0)</f>
        <v>0.022794587628866</v>
      </c>
      <c r="O11" s="10" t="n">
        <f aca="false">K11+(1-L11)*Tasks!I6</f>
        <v>0.0821107500000001</v>
      </c>
      <c r="P11" s="55" t="n">
        <f aca="false">IF(M11="Yes",O11,1000000000)</f>
        <v>0.0821107500000001</v>
      </c>
      <c r="Q11" s="13" t="n">
        <f aca="false">K11*Tasks!G6</f>
        <v>4422.15</v>
      </c>
      <c r="R11" s="13" t="n">
        <f aca="false">O11*Tasks!G6</f>
        <v>16422.15</v>
      </c>
    </row>
    <row r="12" customFormat="false" ht="15" hidden="false" customHeight="true" outlineLevel="0" collapsed="false">
      <c r="A12" s="8" t="str">
        <f aca="false">Tasks!A6</f>
        <v>T1 Support triage</v>
      </c>
      <c r="B12" s="8" t="str">
        <f aca="false">Prices!A12</f>
        <v>Google</v>
      </c>
      <c r="C12" s="8" t="str">
        <f aca="false">Prices!B12</f>
        <v>Small</v>
      </c>
      <c r="D12" s="8" t="str">
        <f aca="false">Prices!C12</f>
        <v>Gemini 3.5 Flash-Lite</v>
      </c>
      <c r="E12" s="53" t="n">
        <f aca="false">Tasks!C6*Prices!O12</f>
        <v>1500</v>
      </c>
      <c r="F12" s="53" t="n">
        <f aca="false">Tasks!D6*Prices!O12*Prices!P12</f>
        <v>300</v>
      </c>
      <c r="G12" s="10" t="n">
        <f aca="false">(E12*Prices!J12+F12*Prices!K12)/1000000</f>
        <v>0.0012</v>
      </c>
      <c r="H12" s="10" t="n">
        <f aca="false">(E12*(1-Tasks!E6)*Prices!J12+E12*Tasks!E6*(Tasks!F6*Prices!L12+(1-Tasks!F6)*Prices!J12*Prices!M12)+F12*Prices!K12)/1000000</f>
        <v>0.000955785</v>
      </c>
      <c r="I12" s="10" t="n">
        <f aca="false">G12*(1-Prices!N12)</f>
        <v>0.0006</v>
      </c>
      <c r="J12" s="10" t="n">
        <f aca="false">H12*(1-Prices!N12)</f>
        <v>0.0004778925</v>
      </c>
      <c r="K12" s="10" t="n">
        <f aca="false">IF(Tasks!H6="Y",MIN(G12:J12),MIN(G12:H12))</f>
        <v>0.000955785</v>
      </c>
      <c r="L12" s="54" t="n">
        <f aca="false">Quality!D12</f>
        <v>0.88</v>
      </c>
      <c r="M12" s="15" t="str">
        <f aca="false">IF(L12&gt;=Tasks!J6,"Yes","No")</f>
        <v>No</v>
      </c>
      <c r="N12" s="10" t="n">
        <f aca="false">IF(L12&gt;0,K12/L12,0)</f>
        <v>0.00108611931818182</v>
      </c>
      <c r="O12" s="10" t="n">
        <f aca="false">K12+(1-L12)*Tasks!I6</f>
        <v>0.240955785</v>
      </c>
      <c r="P12" s="55" t="n">
        <f aca="false">IF(M12="Yes",O12,1000000000)</f>
        <v>1000000000</v>
      </c>
      <c r="Q12" s="13" t="n">
        <f aca="false">K12*Tasks!G6</f>
        <v>191.157</v>
      </c>
      <c r="R12" s="13" t="n">
        <f aca="false">O12*Tasks!G6</f>
        <v>48191.157</v>
      </c>
    </row>
    <row r="13" customFormat="false" ht="15" hidden="false" customHeight="true" outlineLevel="0" collapsed="false">
      <c r="A13" s="8" t="str">
        <f aca="false">Tasks!A6</f>
        <v>T1 Support triage</v>
      </c>
      <c r="B13" s="8" t="str">
        <f aca="false">Prices!A13</f>
        <v>Google</v>
      </c>
      <c r="C13" s="8" t="str">
        <f aca="false">Prices!B13</f>
        <v>Mid</v>
      </c>
      <c r="D13" s="8" t="str">
        <f aca="false">Prices!C13</f>
        <v>Gemini 3.8 Flash</v>
      </c>
      <c r="E13" s="53" t="n">
        <f aca="false">Tasks!C6*Prices!O13</f>
        <v>1500</v>
      </c>
      <c r="F13" s="53" t="n">
        <f aca="false">Tasks!D6*Prices!O13*Prices!P13</f>
        <v>300</v>
      </c>
      <c r="G13" s="10" t="n">
        <f aca="false">(E13*Prices!J13+F13*Prices!K13)/1000000</f>
        <v>0.00225</v>
      </c>
      <c r="H13" s="10" t="n">
        <f aca="false">(E13*(1-Tasks!E6)*Prices!J13+E13*Tasks!E6*(Tasks!F6*Prices!L13+(1-Tasks!F6)*Prices!J13*Prices!M13)+F13*Prices!K13)/1000000</f>
        <v>0.0016394625</v>
      </c>
      <c r="I13" s="10" t="n">
        <f aca="false">G13*(1-Prices!N13)</f>
        <v>0.001125</v>
      </c>
      <c r="J13" s="10" t="n">
        <f aca="false">H13*(1-Prices!N13)</f>
        <v>0.00081973125</v>
      </c>
      <c r="K13" s="10" t="n">
        <f aca="false">IF(Tasks!H6="Y",MIN(G13:J13),MIN(G13:H13))</f>
        <v>0.0016394625</v>
      </c>
      <c r="L13" s="54" t="n">
        <f aca="false">Quality!D13</f>
        <v>0.95</v>
      </c>
      <c r="M13" s="15" t="str">
        <f aca="false">IF(L13&gt;=Tasks!J6,"Yes","No")</f>
        <v>Yes</v>
      </c>
      <c r="N13" s="10" t="n">
        <f aca="false">IF(L13&gt;0,K13/L13,0)</f>
        <v>0.00172575</v>
      </c>
      <c r="O13" s="10" t="n">
        <f aca="false">K13+(1-L13)*Tasks!I6</f>
        <v>0.1016394625</v>
      </c>
      <c r="P13" s="55" t="n">
        <f aca="false">IF(M13="Yes",O13,1000000000)</f>
        <v>0.1016394625</v>
      </c>
      <c r="Q13" s="13" t="n">
        <f aca="false">K13*Tasks!G6</f>
        <v>327.8925</v>
      </c>
      <c r="R13" s="13" t="n">
        <f aca="false">O13*Tasks!G6</f>
        <v>20327.8925</v>
      </c>
    </row>
    <row r="14" customFormat="false" ht="15" hidden="false" customHeight="true" outlineLevel="0" collapsed="false">
      <c r="A14" s="8" t="str">
        <f aca="false">Tasks!A6</f>
        <v>T1 Support triage</v>
      </c>
      <c r="B14" s="8" t="str">
        <f aca="false">Prices!A14</f>
        <v>Google</v>
      </c>
      <c r="C14" s="8" t="str">
        <f aca="false">Prices!B14</f>
        <v>Flagship</v>
      </c>
      <c r="D14" s="8" t="str">
        <f aca="false">Prices!C14</f>
        <v>Gemini 4 Argon</v>
      </c>
      <c r="E14" s="53" t="n">
        <f aca="false">Tasks!C6*Prices!O14</f>
        <v>1500</v>
      </c>
      <c r="F14" s="53" t="n">
        <f aca="false">Tasks!D6*Prices!O14*Prices!P14</f>
        <v>300</v>
      </c>
      <c r="G14" s="10" t="n">
        <f aca="false">(E14*Prices!J14+F14*Prices!K14)/1000000</f>
        <v>0.006</v>
      </c>
      <c r="H14" s="10" t="n">
        <f aca="false">(E14*(1-Tasks!E6)*Prices!J14+E14*Tasks!E6*(Tasks!F6*Prices!L14+(1-Tasks!F6)*Prices!J14*Prices!M14)+F14*Prices!K14)/1000000</f>
        <v>0.00428145</v>
      </c>
      <c r="I14" s="10" t="n">
        <f aca="false">G14*(1-Prices!N14)</f>
        <v>0.003</v>
      </c>
      <c r="J14" s="10" t="n">
        <f aca="false">H14*(1-Prices!N14)</f>
        <v>0.002140725</v>
      </c>
      <c r="K14" s="10" t="n">
        <f aca="false">IF(Tasks!H6="Y",MIN(G14:J14),MIN(G14:H14))</f>
        <v>0.00428145</v>
      </c>
      <c r="L14" s="54" t="n">
        <f aca="false">Quality!D14</f>
        <v>0.97</v>
      </c>
      <c r="M14" s="15" t="str">
        <f aca="false">IF(L14&gt;=Tasks!J6,"Yes","No")</f>
        <v>Yes</v>
      </c>
      <c r="N14" s="10" t="n">
        <f aca="false">IF(L14&gt;0,K14/L14,0)</f>
        <v>0.00441386597938144</v>
      </c>
      <c r="O14" s="10" t="n">
        <f aca="false">K14+(1-L14)*Tasks!I6</f>
        <v>0.0642814500000001</v>
      </c>
      <c r="P14" s="55" t="n">
        <f aca="false">IF(M14="Yes",O14,1000000000)</f>
        <v>0.0642814500000001</v>
      </c>
      <c r="Q14" s="13" t="n">
        <f aca="false">K14*Tasks!G6</f>
        <v>856.29</v>
      </c>
      <c r="R14" s="13" t="n">
        <f aca="false">O14*Tasks!G6</f>
        <v>12856.29</v>
      </c>
    </row>
    <row r="15" customFormat="false" ht="15" hidden="false" customHeight="true" outlineLevel="0" collapsed="false">
      <c r="A15" s="8" t="str">
        <f aca="false">Tasks!A7</f>
        <v>T2 Document summary</v>
      </c>
      <c r="B15" s="8" t="str">
        <f aca="false">Prices!A6</f>
        <v>Anthropic</v>
      </c>
      <c r="C15" s="8" t="str">
        <f aca="false">Prices!B6</f>
        <v>Small</v>
      </c>
      <c r="D15" s="8" t="str">
        <f aca="false">Prices!C6</f>
        <v>Claude Haiku 5.5</v>
      </c>
      <c r="E15" s="53" t="n">
        <f aca="false">Tasks!C7*Prices!O6</f>
        <v>20000</v>
      </c>
      <c r="F15" s="53" t="n">
        <f aca="false">Tasks!D7*Prices!O6*Prices!P6</f>
        <v>800</v>
      </c>
      <c r="G15" s="10" t="n">
        <f aca="false">(E15*Prices!J6+F15*Prices!K6)/1000000</f>
        <v>0.0024</v>
      </c>
      <c r="H15" s="10" t="n">
        <f aca="false">(E15*(1-Tasks!E7)*Prices!J6+E15*Tasks!E7*(Tasks!F7*Prices!L6+(1-Tasks!F7)*Prices!J6*Prices!M6)+F15*Prices!K6)/1000000</f>
        <v>0.002335</v>
      </c>
      <c r="I15" s="10" t="n">
        <f aca="false">G15*(1-Prices!N6)</f>
        <v>0.0012</v>
      </c>
      <c r="J15" s="10" t="n">
        <f aca="false">H15*(1-Prices!N6)</f>
        <v>0.0011675</v>
      </c>
      <c r="K15" s="10" t="n">
        <f aca="false">IF(Tasks!H7="Y",MIN(G15:J15),MIN(G15:H15))</f>
        <v>0.0011675</v>
      </c>
      <c r="L15" s="54" t="n">
        <f aca="false">Quality!E6</f>
        <v>0.8</v>
      </c>
      <c r="M15" s="15" t="str">
        <f aca="false">IF(L15&gt;=Tasks!J7,"Yes","No")</f>
        <v>No</v>
      </c>
      <c r="N15" s="10" t="n">
        <f aca="false">IF(L15&gt;0,K15/L15,0)</f>
        <v>0.001459375</v>
      </c>
      <c r="O15" s="10" t="n">
        <f aca="false">K15+(1-L15)*Tasks!I7</f>
        <v>1.6011675</v>
      </c>
      <c r="P15" s="55" t="n">
        <f aca="false">IF(M15="Yes",O15,1000000000)</f>
        <v>1000000000</v>
      </c>
      <c r="Q15" s="13" t="n">
        <f aca="false">K15*Tasks!G7</f>
        <v>5.8375</v>
      </c>
      <c r="R15" s="13" t="n">
        <f aca="false">O15*Tasks!G7</f>
        <v>8005.8375</v>
      </c>
    </row>
    <row r="16" customFormat="false" ht="15" hidden="false" customHeight="true" outlineLevel="0" collapsed="false">
      <c r="A16" s="8" t="str">
        <f aca="false">Tasks!A7</f>
        <v>T2 Document summary</v>
      </c>
      <c r="B16" s="8" t="str">
        <f aca="false">Prices!A7</f>
        <v>Anthropic</v>
      </c>
      <c r="C16" s="8" t="str">
        <f aca="false">Prices!B7</f>
        <v>Mid</v>
      </c>
      <c r="D16" s="8" t="str">
        <f aca="false">Prices!C7</f>
        <v>Claude Sonnet 5.5</v>
      </c>
      <c r="E16" s="53" t="n">
        <f aca="false">Tasks!C7*Prices!O7</f>
        <v>20000</v>
      </c>
      <c r="F16" s="53" t="n">
        <f aca="false">Tasks!D7*Prices!O7*Prices!P7</f>
        <v>800</v>
      </c>
      <c r="G16" s="10" t="n">
        <f aca="false">(E16*Prices!J7+F16*Prices!K7)/1000000</f>
        <v>0.048</v>
      </c>
      <c r="H16" s="10" t="n">
        <f aca="false">(E16*(1-Tasks!E7)*Prices!J7+E16*Tasks!E7*(Tasks!F7*Prices!L7+(1-Tasks!F7)*Prices!J7*Prices!M7)+F16*Prices!K7)/1000000</f>
        <v>0.0466</v>
      </c>
      <c r="I16" s="10" t="n">
        <f aca="false">G16*(1-Prices!N7)</f>
        <v>0.024</v>
      </c>
      <c r="J16" s="10" t="n">
        <f aca="false">H16*(1-Prices!N7)</f>
        <v>0.0233</v>
      </c>
      <c r="K16" s="10" t="n">
        <f aca="false">IF(Tasks!H7="Y",MIN(G16:J16),MIN(G16:H16))</f>
        <v>0.0233</v>
      </c>
      <c r="L16" s="54" t="n">
        <f aca="false">Quality!E7</f>
        <v>0.92</v>
      </c>
      <c r="M16" s="15" t="str">
        <f aca="false">IF(L16&gt;=Tasks!J7,"Yes","No")</f>
        <v>Yes</v>
      </c>
      <c r="N16" s="10" t="n">
        <f aca="false">IF(L16&gt;0,K16/L16,0)</f>
        <v>0.0253260869565217</v>
      </c>
      <c r="O16" s="10" t="n">
        <f aca="false">K16+(1-L16)*Tasks!I7</f>
        <v>0.6633</v>
      </c>
      <c r="P16" s="55" t="n">
        <f aca="false">IF(M16="Yes",O16,1000000000)</f>
        <v>0.6633</v>
      </c>
      <c r="Q16" s="13" t="n">
        <f aca="false">K16*Tasks!G7</f>
        <v>116.5</v>
      </c>
      <c r="R16" s="13" t="n">
        <f aca="false">O16*Tasks!G7</f>
        <v>3316.5</v>
      </c>
    </row>
    <row r="17" customFormat="false" ht="15" hidden="false" customHeight="true" outlineLevel="0" collapsed="false">
      <c r="A17" s="8" t="str">
        <f aca="false">Tasks!A7</f>
        <v>T2 Document summary</v>
      </c>
      <c r="B17" s="8" t="str">
        <f aca="false">Prices!A8</f>
        <v>Anthropic</v>
      </c>
      <c r="C17" s="8" t="str">
        <f aca="false">Prices!B8</f>
        <v>Flagship</v>
      </c>
      <c r="D17" s="8" t="str">
        <f aca="false">Prices!C8</f>
        <v>Claude Fable 5.1</v>
      </c>
      <c r="E17" s="53" t="n">
        <f aca="false">Tasks!C7*Prices!O8</f>
        <v>20000</v>
      </c>
      <c r="F17" s="53" t="n">
        <f aca="false">Tasks!D7*Prices!O8*Prices!P8</f>
        <v>800</v>
      </c>
      <c r="G17" s="10" t="n">
        <f aca="false">(E17*Prices!J8+F17*Prices!K8)/1000000</f>
        <v>0.24</v>
      </c>
      <c r="H17" s="10" t="n">
        <f aca="false">(E17*(1-Tasks!E7)*Prices!J8+E17*Tasks!E7*(Tasks!F7*Prices!L8+(1-Tasks!F7)*Prices!J8*Prices!M8)+F17*Prices!K8)/1000000</f>
        <v>0.23275</v>
      </c>
      <c r="I17" s="10" t="n">
        <f aca="false">G17*(1-Prices!N8)</f>
        <v>0.12</v>
      </c>
      <c r="J17" s="10" t="n">
        <f aca="false">H17*(1-Prices!N8)</f>
        <v>0.116375</v>
      </c>
      <c r="K17" s="10" t="n">
        <f aca="false">IF(Tasks!H7="Y",MIN(G17:J17),MIN(G17:H17))</f>
        <v>0.116375</v>
      </c>
      <c r="L17" s="54" t="n">
        <f aca="false">Quality!E8</f>
        <v>0.95</v>
      </c>
      <c r="M17" s="15" t="str">
        <f aca="false">IF(L17&gt;=Tasks!J7,"Yes","No")</f>
        <v>Yes</v>
      </c>
      <c r="N17" s="10" t="n">
        <f aca="false">IF(L17&gt;0,K17/L17,0)</f>
        <v>0.1225</v>
      </c>
      <c r="O17" s="10" t="n">
        <f aca="false">K17+(1-L17)*Tasks!I7</f>
        <v>0.516375</v>
      </c>
      <c r="P17" s="55" t="n">
        <f aca="false">IF(M17="Yes",O17,1000000000)</f>
        <v>0.516375</v>
      </c>
      <c r="Q17" s="13" t="n">
        <f aca="false">K17*Tasks!G7</f>
        <v>581.875</v>
      </c>
      <c r="R17" s="13" t="n">
        <f aca="false">O17*Tasks!G7</f>
        <v>2581.875</v>
      </c>
    </row>
    <row r="18" customFormat="false" ht="15" hidden="false" customHeight="true" outlineLevel="0" collapsed="false">
      <c r="A18" s="8" t="str">
        <f aca="false">Tasks!A7</f>
        <v>T2 Document summary</v>
      </c>
      <c r="B18" s="8" t="str">
        <f aca="false">Prices!A9</f>
        <v>OpenAI</v>
      </c>
      <c r="C18" s="8" t="str">
        <f aca="false">Prices!B9</f>
        <v>Small</v>
      </c>
      <c r="D18" s="8" t="str">
        <f aca="false">Prices!C9</f>
        <v>gpt-6-luna</v>
      </c>
      <c r="E18" s="53" t="n">
        <f aca="false">Tasks!C7*Prices!O9</f>
        <v>20000</v>
      </c>
      <c r="F18" s="53" t="n">
        <f aca="false">Tasks!D7*Prices!O9*Prices!P9</f>
        <v>800</v>
      </c>
      <c r="G18" s="10" t="n">
        <f aca="false">(E18*Prices!J9+F18*Prices!K9)/1000000</f>
        <v>0.0024</v>
      </c>
      <c r="H18" s="10" t="n">
        <f aca="false">(E18*(1-Tasks!E7)*Prices!J9+E18*Tasks!E7*(Tasks!F7*Prices!L9+(1-Tasks!F7)*Prices!J9*Prices!M9)+F18*Prices!K9)/1000000</f>
        <v>0.002335</v>
      </c>
      <c r="I18" s="10" t="n">
        <f aca="false">G18*(1-Prices!N9)</f>
        <v>0.0012</v>
      </c>
      <c r="J18" s="10" t="n">
        <f aca="false">H18*(1-Prices!N9)</f>
        <v>0.0011675</v>
      </c>
      <c r="K18" s="10" t="n">
        <f aca="false">IF(Tasks!H7="Y",MIN(G18:J18),MIN(G18:H18))</f>
        <v>0.0011675</v>
      </c>
      <c r="L18" s="54" t="n">
        <f aca="false">Quality!E9</f>
        <v>0.8</v>
      </c>
      <c r="M18" s="15" t="str">
        <f aca="false">IF(L18&gt;=Tasks!J7,"Yes","No")</f>
        <v>No</v>
      </c>
      <c r="N18" s="10" t="n">
        <f aca="false">IF(L18&gt;0,K18/L18,0)</f>
        <v>0.001459375</v>
      </c>
      <c r="O18" s="10" t="n">
        <f aca="false">K18+(1-L18)*Tasks!I7</f>
        <v>1.6011675</v>
      </c>
      <c r="P18" s="55" t="n">
        <f aca="false">IF(M18="Yes",O18,1000000000)</f>
        <v>1000000000</v>
      </c>
      <c r="Q18" s="13" t="n">
        <f aca="false">K18*Tasks!G7</f>
        <v>5.8375</v>
      </c>
      <c r="R18" s="13" t="n">
        <f aca="false">O18*Tasks!G7</f>
        <v>8005.8375</v>
      </c>
    </row>
    <row r="19" customFormat="false" ht="15" hidden="false" customHeight="true" outlineLevel="0" collapsed="false">
      <c r="A19" s="8" t="str">
        <f aca="false">Tasks!A7</f>
        <v>T2 Document summary</v>
      </c>
      <c r="B19" s="8" t="str">
        <f aca="false">Prices!A10</f>
        <v>OpenAI</v>
      </c>
      <c r="C19" s="8" t="str">
        <f aca="false">Prices!B10</f>
        <v>Mid</v>
      </c>
      <c r="D19" s="8" t="str">
        <f aca="false">Prices!C10</f>
        <v>gpt-6.1-sol</v>
      </c>
      <c r="E19" s="53" t="n">
        <f aca="false">Tasks!C7*Prices!O10</f>
        <v>20000</v>
      </c>
      <c r="F19" s="53" t="n">
        <f aca="false">Tasks!D7*Prices!O10*Prices!P10</f>
        <v>800</v>
      </c>
      <c r="G19" s="10" t="n">
        <f aca="false">(E19*Prices!J10+F19*Prices!K10)/1000000</f>
        <v>0.048</v>
      </c>
      <c r="H19" s="10" t="n">
        <f aca="false">(E19*(1-Tasks!E7)*Prices!J10+E19*Tasks!E7*(Tasks!F7*Prices!L10+(1-Tasks!F7)*Prices!J10*Prices!M10)+F19*Prices!K10)/1000000</f>
        <v>0.0466</v>
      </c>
      <c r="I19" s="10" t="n">
        <f aca="false">G19*(1-Prices!N10)</f>
        <v>0.024</v>
      </c>
      <c r="J19" s="10" t="n">
        <f aca="false">H19*(1-Prices!N10)</f>
        <v>0.0233</v>
      </c>
      <c r="K19" s="10" t="n">
        <f aca="false">IF(Tasks!H7="Y",MIN(G19:J19),MIN(G19:H19))</f>
        <v>0.0233</v>
      </c>
      <c r="L19" s="54" t="n">
        <f aca="false">Quality!E10</f>
        <v>0.92</v>
      </c>
      <c r="M19" s="15" t="str">
        <f aca="false">IF(L19&gt;=Tasks!J7,"Yes","No")</f>
        <v>Yes</v>
      </c>
      <c r="N19" s="10" t="n">
        <f aca="false">IF(L19&gt;0,K19/L19,0)</f>
        <v>0.0253260869565217</v>
      </c>
      <c r="O19" s="10" t="n">
        <f aca="false">K19+(1-L19)*Tasks!I7</f>
        <v>0.6633</v>
      </c>
      <c r="P19" s="55" t="n">
        <f aca="false">IF(M19="Yes",O19,1000000000)</f>
        <v>0.6633</v>
      </c>
      <c r="Q19" s="13" t="n">
        <f aca="false">K19*Tasks!G7</f>
        <v>116.5</v>
      </c>
      <c r="R19" s="13" t="n">
        <f aca="false">O19*Tasks!G7</f>
        <v>3316.5</v>
      </c>
    </row>
    <row r="20" customFormat="false" ht="15" hidden="false" customHeight="true" outlineLevel="0" collapsed="false">
      <c r="A20" s="8" t="str">
        <f aca="false">Tasks!A7</f>
        <v>T2 Document summary</v>
      </c>
      <c r="B20" s="8" t="str">
        <f aca="false">Prices!A11</f>
        <v>OpenAI</v>
      </c>
      <c r="C20" s="8" t="str">
        <f aca="false">Prices!B11</f>
        <v>Flagship</v>
      </c>
      <c r="D20" s="8" t="str">
        <f aca="false">Prices!C11</f>
        <v>gpt-6-astra</v>
      </c>
      <c r="E20" s="53" t="n">
        <f aca="false">Tasks!C7*Prices!O11</f>
        <v>20000</v>
      </c>
      <c r="F20" s="53" t="n">
        <f aca="false">Tasks!D7*Prices!O11*Prices!P11</f>
        <v>800</v>
      </c>
      <c r="G20" s="10" t="n">
        <f aca="false">(E20*Prices!J11+F20*Prices!K11)/1000000</f>
        <v>0.24</v>
      </c>
      <c r="H20" s="10" t="n">
        <f aca="false">(E20*(1-Tasks!E7)*Prices!J11+E20*Tasks!E7*(Tasks!F7*Prices!L11+(1-Tasks!F7)*Prices!J11*Prices!M11)+F20*Prices!K11)/1000000</f>
        <v>0.2335</v>
      </c>
      <c r="I20" s="10" t="n">
        <f aca="false">G20*(1-Prices!N11)</f>
        <v>0.12</v>
      </c>
      <c r="J20" s="10" t="n">
        <f aca="false">H20*(1-Prices!N11)</f>
        <v>0.11675</v>
      </c>
      <c r="K20" s="10" t="n">
        <f aca="false">IF(Tasks!H7="Y",MIN(G20:J20),MIN(G20:H20))</f>
        <v>0.11675</v>
      </c>
      <c r="L20" s="54" t="n">
        <f aca="false">Quality!E11</f>
        <v>0.95</v>
      </c>
      <c r="M20" s="15" t="str">
        <f aca="false">IF(L20&gt;=Tasks!J7,"Yes","No")</f>
        <v>Yes</v>
      </c>
      <c r="N20" s="10" t="n">
        <f aca="false">IF(L20&gt;0,K20/L20,0)</f>
        <v>0.122894736842105</v>
      </c>
      <c r="O20" s="10" t="n">
        <f aca="false">K20+(1-L20)*Tasks!I7</f>
        <v>0.51675</v>
      </c>
      <c r="P20" s="55" t="n">
        <f aca="false">IF(M20="Yes",O20,1000000000)</f>
        <v>0.51675</v>
      </c>
      <c r="Q20" s="13" t="n">
        <f aca="false">K20*Tasks!G7</f>
        <v>583.75</v>
      </c>
      <c r="R20" s="13" t="n">
        <f aca="false">O20*Tasks!G7</f>
        <v>2583.75</v>
      </c>
    </row>
    <row r="21" customFormat="false" ht="15" hidden="false" customHeight="true" outlineLevel="0" collapsed="false">
      <c r="A21" s="8" t="str">
        <f aca="false">Tasks!A7</f>
        <v>T2 Document summary</v>
      </c>
      <c r="B21" s="8" t="str">
        <f aca="false">Prices!A12</f>
        <v>Google</v>
      </c>
      <c r="C21" s="8" t="str">
        <f aca="false">Prices!B12</f>
        <v>Small</v>
      </c>
      <c r="D21" s="8" t="str">
        <f aca="false">Prices!C12</f>
        <v>Gemini 3.5 Flash-Lite</v>
      </c>
      <c r="E21" s="53" t="n">
        <f aca="false">Tasks!C7*Prices!O12</f>
        <v>20000</v>
      </c>
      <c r="F21" s="53" t="n">
        <f aca="false">Tasks!D7*Prices!O12*Prices!P12</f>
        <v>800</v>
      </c>
      <c r="G21" s="10" t="n">
        <f aca="false">(E21*Prices!J12+F21*Prices!K12)/1000000</f>
        <v>0.008</v>
      </c>
      <c r="H21" s="10" t="n">
        <f aca="false">(E21*(1-Tasks!E7)*Prices!J12+E21*Tasks!E7*(Tasks!F7*Prices!L12+(1-Tasks!F7)*Prices!J12*Prices!M12)+F21*Prices!K12)/1000000</f>
        <v>0.00773</v>
      </c>
      <c r="I21" s="10" t="n">
        <f aca="false">G21*(1-Prices!N12)</f>
        <v>0.004</v>
      </c>
      <c r="J21" s="10" t="n">
        <f aca="false">H21*(1-Prices!N12)</f>
        <v>0.003865</v>
      </c>
      <c r="K21" s="10" t="n">
        <f aca="false">IF(Tasks!H7="Y",MIN(G21:J21),MIN(G21:H21))</f>
        <v>0.003865</v>
      </c>
      <c r="L21" s="54" t="n">
        <f aca="false">Quality!E12</f>
        <v>0.8</v>
      </c>
      <c r="M21" s="15" t="str">
        <f aca="false">IF(L21&gt;=Tasks!J7,"Yes","No")</f>
        <v>No</v>
      </c>
      <c r="N21" s="10" t="n">
        <f aca="false">IF(L21&gt;0,K21/L21,0)</f>
        <v>0.00483125</v>
      </c>
      <c r="O21" s="10" t="n">
        <f aca="false">K21+(1-L21)*Tasks!I7</f>
        <v>1.603865</v>
      </c>
      <c r="P21" s="55" t="n">
        <f aca="false">IF(M21="Yes",O21,1000000000)</f>
        <v>1000000000</v>
      </c>
      <c r="Q21" s="13" t="n">
        <f aca="false">K21*Tasks!G7</f>
        <v>19.325</v>
      </c>
      <c r="R21" s="13" t="n">
        <f aca="false">O21*Tasks!G7</f>
        <v>8019.325</v>
      </c>
    </row>
    <row r="22" customFormat="false" ht="15" hidden="false" customHeight="true" outlineLevel="0" collapsed="false">
      <c r="A22" s="8" t="str">
        <f aca="false">Tasks!A7</f>
        <v>T2 Document summary</v>
      </c>
      <c r="B22" s="8" t="str">
        <f aca="false">Prices!A13</f>
        <v>Google</v>
      </c>
      <c r="C22" s="8" t="str">
        <f aca="false">Prices!B13</f>
        <v>Mid</v>
      </c>
      <c r="D22" s="8" t="str">
        <f aca="false">Prices!C13</f>
        <v>Gemini 3.8 Flash</v>
      </c>
      <c r="E22" s="53" t="n">
        <f aca="false">Tasks!C7*Prices!O13</f>
        <v>20000</v>
      </c>
      <c r="F22" s="53" t="n">
        <f aca="false">Tasks!D7*Prices!O13*Prices!P13</f>
        <v>800</v>
      </c>
      <c r="G22" s="10" t="n">
        <f aca="false">(E22*Prices!J13+F22*Prices!K13)/1000000</f>
        <v>0.018</v>
      </c>
      <c r="H22" s="10" t="n">
        <f aca="false">(E22*(1-Tasks!E7)*Prices!J13+E22*Tasks!E7*(Tasks!F7*Prices!L13+(1-Tasks!F7)*Prices!J13*Prices!M13)+F22*Prices!K13)/1000000</f>
        <v>0.017325</v>
      </c>
      <c r="I22" s="10" t="n">
        <f aca="false">G22*(1-Prices!N13)</f>
        <v>0.009</v>
      </c>
      <c r="J22" s="10" t="n">
        <f aca="false">H22*(1-Prices!N13)</f>
        <v>0.0086625</v>
      </c>
      <c r="K22" s="10" t="n">
        <f aca="false">IF(Tasks!H7="Y",MIN(G22:J22),MIN(G22:H22))</f>
        <v>0.0086625</v>
      </c>
      <c r="L22" s="54" t="n">
        <f aca="false">Quality!E13</f>
        <v>0.92</v>
      </c>
      <c r="M22" s="15" t="str">
        <f aca="false">IF(L22&gt;=Tasks!J7,"Yes","No")</f>
        <v>Yes</v>
      </c>
      <c r="N22" s="10" t="n">
        <f aca="false">IF(L22&gt;0,K22/L22,0)</f>
        <v>0.00941576086956522</v>
      </c>
      <c r="O22" s="10" t="n">
        <f aca="false">K22+(1-L22)*Tasks!I7</f>
        <v>0.6486625</v>
      </c>
      <c r="P22" s="55" t="n">
        <f aca="false">IF(M22="Yes",O22,1000000000)</f>
        <v>0.6486625</v>
      </c>
      <c r="Q22" s="13" t="n">
        <f aca="false">K22*Tasks!G7</f>
        <v>43.3125</v>
      </c>
      <c r="R22" s="13" t="n">
        <f aca="false">O22*Tasks!G7</f>
        <v>3243.3125</v>
      </c>
    </row>
    <row r="23" customFormat="false" ht="15" hidden="false" customHeight="true" outlineLevel="0" collapsed="false">
      <c r="A23" s="8" t="str">
        <f aca="false">Tasks!A7</f>
        <v>T2 Document summary</v>
      </c>
      <c r="B23" s="8" t="str">
        <f aca="false">Prices!A14</f>
        <v>Google</v>
      </c>
      <c r="C23" s="8" t="str">
        <f aca="false">Prices!B14</f>
        <v>Flagship</v>
      </c>
      <c r="D23" s="8" t="str">
        <f aca="false">Prices!C14</f>
        <v>Gemini 4 Argon</v>
      </c>
      <c r="E23" s="53" t="n">
        <f aca="false">Tasks!C7*Prices!O14</f>
        <v>20000</v>
      </c>
      <c r="F23" s="53" t="n">
        <f aca="false">Tasks!D7*Prices!O14*Prices!P14</f>
        <v>800</v>
      </c>
      <c r="G23" s="10" t="n">
        <f aca="false">(E23*Prices!J14+F23*Prices!K14)/1000000</f>
        <v>0.048</v>
      </c>
      <c r="H23" s="10" t="n">
        <f aca="false">(E23*(1-Tasks!E7)*Prices!J14+E23*Tasks!E7*(Tasks!F7*Prices!L14+(1-Tasks!F7)*Prices!J14*Prices!M14)+F23*Prices!K14)/1000000</f>
        <v>0.0461</v>
      </c>
      <c r="I23" s="10" t="n">
        <f aca="false">G23*(1-Prices!N14)</f>
        <v>0.024</v>
      </c>
      <c r="J23" s="10" t="n">
        <f aca="false">H23*(1-Prices!N14)</f>
        <v>0.02305</v>
      </c>
      <c r="K23" s="10" t="n">
        <f aca="false">IF(Tasks!H7="Y",MIN(G23:J23),MIN(G23:H23))</f>
        <v>0.02305</v>
      </c>
      <c r="L23" s="54" t="n">
        <f aca="false">Quality!E14</f>
        <v>0.95</v>
      </c>
      <c r="M23" s="15" t="str">
        <f aca="false">IF(L23&gt;=Tasks!J7,"Yes","No")</f>
        <v>Yes</v>
      </c>
      <c r="N23" s="10" t="n">
        <f aca="false">IF(L23&gt;0,K23/L23,0)</f>
        <v>0.0242631578947368</v>
      </c>
      <c r="O23" s="10" t="n">
        <f aca="false">K23+(1-L23)*Tasks!I7</f>
        <v>0.42305</v>
      </c>
      <c r="P23" s="55" t="n">
        <f aca="false">IF(M23="Yes",O23,1000000000)</f>
        <v>0.42305</v>
      </c>
      <c r="Q23" s="13" t="n">
        <f aca="false">K23*Tasks!G7</f>
        <v>115.25</v>
      </c>
      <c r="R23" s="13" t="n">
        <f aca="false">O23*Tasks!G7</f>
        <v>2115.25</v>
      </c>
    </row>
    <row r="24" customFormat="false" ht="15" hidden="false" customHeight="true" outlineLevel="0" collapsed="false">
      <c r="A24" s="8" t="str">
        <f aca="false">Tasks!A8</f>
        <v>T3 Complex analysis</v>
      </c>
      <c r="B24" s="8" t="str">
        <f aca="false">Prices!A6</f>
        <v>Anthropic</v>
      </c>
      <c r="C24" s="8" t="str">
        <f aca="false">Prices!B6</f>
        <v>Small</v>
      </c>
      <c r="D24" s="8" t="str">
        <f aca="false">Prices!C6</f>
        <v>Claude Haiku 5.5</v>
      </c>
      <c r="E24" s="53" t="n">
        <f aca="false">Tasks!C8*Prices!O6</f>
        <v>40000</v>
      </c>
      <c r="F24" s="53" t="n">
        <f aca="false">Tasks!D8*Prices!O6*Prices!P6</f>
        <v>6000</v>
      </c>
      <c r="G24" s="10" t="n">
        <f aca="false">(E24*Prices!J6+F24*Prices!K6)/1000000</f>
        <v>0.007</v>
      </c>
      <c r="H24" s="10" t="n">
        <f aca="false">(E24*(1-Tasks!E8)*Prices!J6+E24*Tasks!E8*(Tasks!F8*Prices!L6+(1-Tasks!F8)*Prices!J6*Prices!M6)+F24*Prices!K6)/1000000</f>
        <v>0.005446</v>
      </c>
      <c r="I24" s="10" t="n">
        <f aca="false">G24*(1-Prices!N6)</f>
        <v>0.0035</v>
      </c>
      <c r="J24" s="10" t="n">
        <f aca="false">H24*(1-Prices!N6)</f>
        <v>0.002723</v>
      </c>
      <c r="K24" s="10" t="n">
        <f aca="false">IF(Tasks!H8="Y",MIN(G24:J24),MIN(G24:H24))</f>
        <v>0.005446</v>
      </c>
      <c r="L24" s="54" t="n">
        <f aca="false">Quality!F6</f>
        <v>0.35</v>
      </c>
      <c r="M24" s="15" t="str">
        <f aca="false">IF(L24&gt;=Tasks!J8,"Yes","No")</f>
        <v>No</v>
      </c>
      <c r="N24" s="10" t="n">
        <f aca="false">IF(L24&gt;0,K24/L24,0)</f>
        <v>0.01556</v>
      </c>
      <c r="O24" s="10" t="n">
        <f aca="false">K24+(1-L24)*Tasks!I8</f>
        <v>26.005446</v>
      </c>
      <c r="P24" s="55" t="n">
        <f aca="false">IF(M24="Yes",O24,1000000000)</f>
        <v>1000000000</v>
      </c>
      <c r="Q24" s="13" t="n">
        <f aca="false">K24*Tasks!G8</f>
        <v>5.446</v>
      </c>
      <c r="R24" s="13" t="n">
        <f aca="false">O24*Tasks!G8</f>
        <v>26005.446</v>
      </c>
    </row>
    <row r="25" customFormat="false" ht="15" hidden="false" customHeight="true" outlineLevel="0" collapsed="false">
      <c r="A25" s="8" t="str">
        <f aca="false">Tasks!A8</f>
        <v>T3 Complex analysis</v>
      </c>
      <c r="B25" s="8" t="str">
        <f aca="false">Prices!A7</f>
        <v>Anthropic</v>
      </c>
      <c r="C25" s="8" t="str">
        <f aca="false">Prices!B7</f>
        <v>Mid</v>
      </c>
      <c r="D25" s="8" t="str">
        <f aca="false">Prices!C7</f>
        <v>Claude Sonnet 5.5</v>
      </c>
      <c r="E25" s="53" t="n">
        <f aca="false">Tasks!C8*Prices!O7</f>
        <v>40000</v>
      </c>
      <c r="F25" s="53" t="n">
        <f aca="false">Tasks!D8*Prices!O7*Prices!P7</f>
        <v>6000</v>
      </c>
      <c r="G25" s="10" t="n">
        <f aca="false">(E25*Prices!J7+F25*Prices!K7)/1000000</f>
        <v>0.14</v>
      </c>
      <c r="H25" s="10" t="n">
        <f aca="false">(E25*(1-Tasks!E8)*Prices!J7+E25*Tasks!E8*(Tasks!F8*Prices!L7+(1-Tasks!F8)*Prices!J7*Prices!M7)+F25*Prices!K7)/1000000</f>
        <v>0.10696</v>
      </c>
      <c r="I25" s="10" t="n">
        <f aca="false">G25*(1-Prices!N7)</f>
        <v>0.07</v>
      </c>
      <c r="J25" s="10" t="n">
        <f aca="false">H25*(1-Prices!N7)</f>
        <v>0.05348</v>
      </c>
      <c r="K25" s="10" t="n">
        <f aca="false">IF(Tasks!H8="Y",MIN(G25:J25),MIN(G25:H25))</f>
        <v>0.10696</v>
      </c>
      <c r="L25" s="54" t="n">
        <f aca="false">Quality!F7</f>
        <v>0.7</v>
      </c>
      <c r="M25" s="15" t="str">
        <f aca="false">IF(L25&gt;=Tasks!J8,"Yes","No")</f>
        <v>No</v>
      </c>
      <c r="N25" s="10" t="n">
        <f aca="false">IF(L25&gt;0,K25/L25,0)</f>
        <v>0.1528</v>
      </c>
      <c r="O25" s="10" t="n">
        <f aca="false">K25+(1-L25)*Tasks!I8</f>
        <v>12.10696</v>
      </c>
      <c r="P25" s="55" t="n">
        <f aca="false">IF(M25="Yes",O25,1000000000)</f>
        <v>1000000000</v>
      </c>
      <c r="Q25" s="13" t="n">
        <f aca="false">K25*Tasks!G8</f>
        <v>106.96</v>
      </c>
      <c r="R25" s="13" t="n">
        <f aca="false">O25*Tasks!G8</f>
        <v>12106.96</v>
      </c>
    </row>
    <row r="26" customFormat="false" ht="15" hidden="false" customHeight="true" outlineLevel="0" collapsed="false">
      <c r="A26" s="8" t="str">
        <f aca="false">Tasks!A8</f>
        <v>T3 Complex analysis</v>
      </c>
      <c r="B26" s="8" t="str">
        <f aca="false">Prices!A8</f>
        <v>Anthropic</v>
      </c>
      <c r="C26" s="8" t="str">
        <f aca="false">Prices!B8</f>
        <v>Flagship</v>
      </c>
      <c r="D26" s="8" t="str">
        <f aca="false">Prices!C8</f>
        <v>Claude Fable 5.1</v>
      </c>
      <c r="E26" s="53" t="n">
        <f aca="false">Tasks!C8*Prices!O8</f>
        <v>40000</v>
      </c>
      <c r="F26" s="53" t="n">
        <f aca="false">Tasks!D8*Prices!O8*Prices!P8</f>
        <v>6000</v>
      </c>
      <c r="G26" s="10" t="n">
        <f aca="false">(E26*Prices!J8+F26*Prices!K8)/1000000</f>
        <v>0.7</v>
      </c>
      <c r="H26" s="10" t="n">
        <f aca="false">(E26*(1-Tasks!E8)*Prices!J8+E26*Tasks!E8*(Tasks!F8*Prices!L8+(1-Tasks!F8)*Prices!J8*Prices!M8)+F26*Prices!K8)/1000000</f>
        <v>0.5299</v>
      </c>
      <c r="I26" s="10" t="n">
        <f aca="false">G26*(1-Prices!N8)</f>
        <v>0.35</v>
      </c>
      <c r="J26" s="10" t="n">
        <f aca="false">H26*(1-Prices!N8)</f>
        <v>0.26495</v>
      </c>
      <c r="K26" s="10" t="n">
        <f aca="false">IF(Tasks!H8="Y",MIN(G26:J26),MIN(G26:H26))</f>
        <v>0.5299</v>
      </c>
      <c r="L26" s="54" t="n">
        <f aca="false">Quality!F8</f>
        <v>0.88</v>
      </c>
      <c r="M26" s="15" t="str">
        <f aca="false">IF(L26&gt;=Tasks!J8,"Yes","No")</f>
        <v>Yes</v>
      </c>
      <c r="N26" s="10" t="n">
        <f aca="false">IF(L26&gt;0,K26/L26,0)</f>
        <v>0.602159090909091</v>
      </c>
      <c r="O26" s="10" t="n">
        <f aca="false">K26+(1-L26)*Tasks!I8</f>
        <v>5.3299</v>
      </c>
      <c r="P26" s="55" t="n">
        <f aca="false">IF(M26="Yes",O26,1000000000)</f>
        <v>5.3299</v>
      </c>
      <c r="Q26" s="13" t="n">
        <f aca="false">K26*Tasks!G8</f>
        <v>529.9</v>
      </c>
      <c r="R26" s="13" t="n">
        <f aca="false">O26*Tasks!G8</f>
        <v>5329.9</v>
      </c>
    </row>
    <row r="27" customFormat="false" ht="15" hidden="false" customHeight="true" outlineLevel="0" collapsed="false">
      <c r="A27" s="8" t="str">
        <f aca="false">Tasks!A8</f>
        <v>T3 Complex analysis</v>
      </c>
      <c r="B27" s="8" t="str">
        <f aca="false">Prices!A9</f>
        <v>OpenAI</v>
      </c>
      <c r="C27" s="8" t="str">
        <f aca="false">Prices!B9</f>
        <v>Small</v>
      </c>
      <c r="D27" s="8" t="str">
        <f aca="false">Prices!C9</f>
        <v>gpt-6-luna</v>
      </c>
      <c r="E27" s="53" t="n">
        <f aca="false">Tasks!C8*Prices!O9</f>
        <v>40000</v>
      </c>
      <c r="F27" s="53" t="n">
        <f aca="false">Tasks!D8*Prices!O9*Prices!P9</f>
        <v>6000</v>
      </c>
      <c r="G27" s="10" t="n">
        <f aca="false">(E27*Prices!J9+F27*Prices!K9)/1000000</f>
        <v>0.007</v>
      </c>
      <c r="H27" s="10" t="n">
        <f aca="false">(E27*(1-Tasks!E8)*Prices!J9+E27*Tasks!E8*(Tasks!F8*Prices!L9+(1-Tasks!F8)*Prices!J9*Prices!M9)+F27*Prices!K9)/1000000</f>
        <v>0.005446</v>
      </c>
      <c r="I27" s="10" t="n">
        <f aca="false">G27*(1-Prices!N9)</f>
        <v>0.0035</v>
      </c>
      <c r="J27" s="10" t="n">
        <f aca="false">H27*(1-Prices!N9)</f>
        <v>0.002723</v>
      </c>
      <c r="K27" s="10" t="n">
        <f aca="false">IF(Tasks!H8="Y",MIN(G27:J27),MIN(G27:H27))</f>
        <v>0.005446</v>
      </c>
      <c r="L27" s="54" t="n">
        <f aca="false">Quality!F9</f>
        <v>0.35</v>
      </c>
      <c r="M27" s="15" t="str">
        <f aca="false">IF(L27&gt;=Tasks!J8,"Yes","No")</f>
        <v>No</v>
      </c>
      <c r="N27" s="10" t="n">
        <f aca="false">IF(L27&gt;0,K27/L27,0)</f>
        <v>0.01556</v>
      </c>
      <c r="O27" s="10" t="n">
        <f aca="false">K27+(1-L27)*Tasks!I8</f>
        <v>26.005446</v>
      </c>
      <c r="P27" s="55" t="n">
        <f aca="false">IF(M27="Yes",O27,1000000000)</f>
        <v>1000000000</v>
      </c>
      <c r="Q27" s="13" t="n">
        <f aca="false">K27*Tasks!G8</f>
        <v>5.446</v>
      </c>
      <c r="R27" s="13" t="n">
        <f aca="false">O27*Tasks!G8</f>
        <v>26005.446</v>
      </c>
    </row>
    <row r="28" customFormat="false" ht="15" hidden="false" customHeight="true" outlineLevel="0" collapsed="false">
      <c r="A28" s="8" t="str">
        <f aca="false">Tasks!A8</f>
        <v>T3 Complex analysis</v>
      </c>
      <c r="B28" s="8" t="str">
        <f aca="false">Prices!A10</f>
        <v>OpenAI</v>
      </c>
      <c r="C28" s="8" t="str">
        <f aca="false">Prices!B10</f>
        <v>Mid</v>
      </c>
      <c r="D28" s="8" t="str">
        <f aca="false">Prices!C10</f>
        <v>gpt-6.1-sol</v>
      </c>
      <c r="E28" s="53" t="n">
        <f aca="false">Tasks!C8*Prices!O10</f>
        <v>40000</v>
      </c>
      <c r="F28" s="53" t="n">
        <f aca="false">Tasks!D8*Prices!O10*Prices!P10</f>
        <v>6000</v>
      </c>
      <c r="G28" s="10" t="n">
        <f aca="false">(E28*Prices!J10+F28*Prices!K10)/1000000</f>
        <v>0.14</v>
      </c>
      <c r="H28" s="10" t="n">
        <f aca="false">(E28*(1-Tasks!E8)*Prices!J10+E28*Tasks!E8*(Tasks!F8*Prices!L10+(1-Tasks!F8)*Prices!J10*Prices!M10)+F28*Prices!K10)/1000000</f>
        <v>0.10696</v>
      </c>
      <c r="I28" s="10" t="n">
        <f aca="false">G28*(1-Prices!N10)</f>
        <v>0.07</v>
      </c>
      <c r="J28" s="10" t="n">
        <f aca="false">H28*(1-Prices!N10)</f>
        <v>0.05348</v>
      </c>
      <c r="K28" s="10" t="n">
        <f aca="false">IF(Tasks!H8="Y",MIN(G28:J28),MIN(G28:H28))</f>
        <v>0.10696</v>
      </c>
      <c r="L28" s="54" t="n">
        <f aca="false">Quality!F10</f>
        <v>0.7</v>
      </c>
      <c r="M28" s="15" t="str">
        <f aca="false">IF(L28&gt;=Tasks!J8,"Yes","No")</f>
        <v>No</v>
      </c>
      <c r="N28" s="10" t="n">
        <f aca="false">IF(L28&gt;0,K28/L28,0)</f>
        <v>0.1528</v>
      </c>
      <c r="O28" s="10" t="n">
        <f aca="false">K28+(1-L28)*Tasks!I8</f>
        <v>12.10696</v>
      </c>
      <c r="P28" s="55" t="n">
        <f aca="false">IF(M28="Yes",O28,1000000000)</f>
        <v>1000000000</v>
      </c>
      <c r="Q28" s="13" t="n">
        <f aca="false">K28*Tasks!G8</f>
        <v>106.96</v>
      </c>
      <c r="R28" s="13" t="n">
        <f aca="false">O28*Tasks!G8</f>
        <v>12106.96</v>
      </c>
    </row>
    <row r="29" customFormat="false" ht="15" hidden="false" customHeight="true" outlineLevel="0" collapsed="false">
      <c r="A29" s="8" t="str">
        <f aca="false">Tasks!A8</f>
        <v>T3 Complex analysis</v>
      </c>
      <c r="B29" s="8" t="str">
        <f aca="false">Prices!A11</f>
        <v>OpenAI</v>
      </c>
      <c r="C29" s="8" t="str">
        <f aca="false">Prices!B11</f>
        <v>Flagship</v>
      </c>
      <c r="D29" s="8" t="str">
        <f aca="false">Prices!C11</f>
        <v>gpt-6-astra</v>
      </c>
      <c r="E29" s="53" t="n">
        <f aca="false">Tasks!C8*Prices!O11</f>
        <v>40000</v>
      </c>
      <c r="F29" s="53" t="n">
        <f aca="false">Tasks!D8*Prices!O11*Prices!P11</f>
        <v>6000</v>
      </c>
      <c r="G29" s="10" t="n">
        <f aca="false">(E29*Prices!J11+F29*Prices!K11)/1000000</f>
        <v>0.7</v>
      </c>
      <c r="H29" s="10" t="n">
        <f aca="false">(E29*(1-Tasks!E8)*Prices!J11+E29*Tasks!E8*(Tasks!F8*Prices!L11+(1-Tasks!F8)*Prices!J11*Prices!M11)+F29*Prices!K11)/1000000</f>
        <v>0.5446</v>
      </c>
      <c r="I29" s="10" t="n">
        <f aca="false">G29*(1-Prices!N11)</f>
        <v>0.35</v>
      </c>
      <c r="J29" s="10" t="n">
        <f aca="false">H29*(1-Prices!N11)</f>
        <v>0.2723</v>
      </c>
      <c r="K29" s="10" t="n">
        <f aca="false">IF(Tasks!H8="Y",MIN(G29:J29),MIN(G29:H29))</f>
        <v>0.5446</v>
      </c>
      <c r="L29" s="54" t="n">
        <f aca="false">Quality!F11</f>
        <v>0.88</v>
      </c>
      <c r="M29" s="15" t="str">
        <f aca="false">IF(L29&gt;=Tasks!J8,"Yes","No")</f>
        <v>Yes</v>
      </c>
      <c r="N29" s="10" t="n">
        <f aca="false">IF(L29&gt;0,K29/L29,0)</f>
        <v>0.618863636363636</v>
      </c>
      <c r="O29" s="10" t="n">
        <f aca="false">K29+(1-L29)*Tasks!I8</f>
        <v>5.3446</v>
      </c>
      <c r="P29" s="55" t="n">
        <f aca="false">IF(M29="Yes",O29,1000000000)</f>
        <v>5.3446</v>
      </c>
      <c r="Q29" s="13" t="n">
        <f aca="false">K29*Tasks!G8</f>
        <v>544.6</v>
      </c>
      <c r="R29" s="13" t="n">
        <f aca="false">O29*Tasks!G8</f>
        <v>5344.6</v>
      </c>
    </row>
    <row r="30" customFormat="false" ht="15" hidden="false" customHeight="true" outlineLevel="0" collapsed="false">
      <c r="A30" s="8" t="str">
        <f aca="false">Tasks!A8</f>
        <v>T3 Complex analysis</v>
      </c>
      <c r="B30" s="8" t="str">
        <f aca="false">Prices!A12</f>
        <v>Google</v>
      </c>
      <c r="C30" s="8" t="str">
        <f aca="false">Prices!B12</f>
        <v>Small</v>
      </c>
      <c r="D30" s="8" t="str">
        <f aca="false">Prices!C12</f>
        <v>Gemini 3.5 Flash-Lite</v>
      </c>
      <c r="E30" s="53" t="n">
        <f aca="false">Tasks!C8*Prices!O12</f>
        <v>40000</v>
      </c>
      <c r="F30" s="53" t="n">
        <f aca="false">Tasks!D8*Prices!O12*Prices!P12</f>
        <v>6000</v>
      </c>
      <c r="G30" s="10" t="n">
        <f aca="false">(E30*Prices!J12+F30*Prices!K12)/1000000</f>
        <v>0.027</v>
      </c>
      <c r="H30" s="10" t="n">
        <f aca="false">(E30*(1-Tasks!E8)*Prices!J12+E30*Tasks!E8*(Tasks!F8*Prices!L12+(1-Tasks!F8)*Prices!J12*Prices!M12)+F30*Prices!K12)/1000000</f>
        <v>0.021708</v>
      </c>
      <c r="I30" s="10" t="n">
        <f aca="false">G30*(1-Prices!N12)</f>
        <v>0.0135</v>
      </c>
      <c r="J30" s="10" t="n">
        <f aca="false">H30*(1-Prices!N12)</f>
        <v>0.010854</v>
      </c>
      <c r="K30" s="10" t="n">
        <f aca="false">IF(Tasks!H8="Y",MIN(G30:J30),MIN(G30:H30))</f>
        <v>0.021708</v>
      </c>
      <c r="L30" s="54" t="n">
        <f aca="false">Quality!F12</f>
        <v>0.35</v>
      </c>
      <c r="M30" s="15" t="str">
        <f aca="false">IF(L30&gt;=Tasks!J8,"Yes","No")</f>
        <v>No</v>
      </c>
      <c r="N30" s="10" t="n">
        <f aca="false">IF(L30&gt;0,K30/L30,0)</f>
        <v>0.0620228571428572</v>
      </c>
      <c r="O30" s="10" t="n">
        <f aca="false">K30+(1-L30)*Tasks!I8</f>
        <v>26.021708</v>
      </c>
      <c r="P30" s="55" t="n">
        <f aca="false">IF(M30="Yes",O30,1000000000)</f>
        <v>1000000000</v>
      </c>
      <c r="Q30" s="13" t="n">
        <f aca="false">K30*Tasks!G8</f>
        <v>21.708</v>
      </c>
      <c r="R30" s="13" t="n">
        <f aca="false">O30*Tasks!G8</f>
        <v>26021.708</v>
      </c>
    </row>
    <row r="31" customFormat="false" ht="15" hidden="false" customHeight="true" outlineLevel="0" collapsed="false">
      <c r="A31" s="8" t="str">
        <f aca="false">Tasks!A8</f>
        <v>T3 Complex analysis</v>
      </c>
      <c r="B31" s="8" t="str">
        <f aca="false">Prices!A13</f>
        <v>Google</v>
      </c>
      <c r="C31" s="8" t="str">
        <f aca="false">Prices!B13</f>
        <v>Mid</v>
      </c>
      <c r="D31" s="8" t="str">
        <f aca="false">Prices!C13</f>
        <v>Gemini 3.8 Flash</v>
      </c>
      <c r="E31" s="53" t="n">
        <f aca="false">Tasks!C8*Prices!O13</f>
        <v>40000</v>
      </c>
      <c r="F31" s="53" t="n">
        <f aca="false">Tasks!D8*Prices!O13*Prices!P13</f>
        <v>6000</v>
      </c>
      <c r="G31" s="10" t="n">
        <f aca="false">(E31*Prices!J13+F31*Prices!K13)/1000000</f>
        <v>0.0525</v>
      </c>
      <c r="H31" s="10" t="n">
        <f aca="false">(E31*(1-Tasks!E8)*Prices!J13+E31*Tasks!E8*(Tasks!F8*Prices!L13+(1-Tasks!F8)*Prices!J13*Prices!M13)+F31*Prices!K13)/1000000</f>
        <v>0.03927</v>
      </c>
      <c r="I31" s="10" t="n">
        <f aca="false">G31*(1-Prices!N13)</f>
        <v>0.02625</v>
      </c>
      <c r="J31" s="10" t="n">
        <f aca="false">H31*(1-Prices!N13)</f>
        <v>0.019635</v>
      </c>
      <c r="K31" s="10" t="n">
        <f aca="false">IF(Tasks!H8="Y",MIN(G31:J31),MIN(G31:H31))</f>
        <v>0.03927</v>
      </c>
      <c r="L31" s="54" t="n">
        <f aca="false">Quality!F13</f>
        <v>0.7</v>
      </c>
      <c r="M31" s="15" t="str">
        <f aca="false">IF(L31&gt;=Tasks!J8,"Yes","No")</f>
        <v>No</v>
      </c>
      <c r="N31" s="10" t="n">
        <f aca="false">IF(L31&gt;0,K31/L31,0)</f>
        <v>0.0561</v>
      </c>
      <c r="O31" s="10" t="n">
        <f aca="false">K31+(1-L31)*Tasks!I8</f>
        <v>12.03927</v>
      </c>
      <c r="P31" s="55" t="n">
        <f aca="false">IF(M31="Yes",O31,1000000000)</f>
        <v>1000000000</v>
      </c>
      <c r="Q31" s="13" t="n">
        <f aca="false">K31*Tasks!G8</f>
        <v>39.27</v>
      </c>
      <c r="R31" s="13" t="n">
        <f aca="false">O31*Tasks!G8</f>
        <v>12039.27</v>
      </c>
    </row>
    <row r="32" customFormat="false" ht="15" hidden="false" customHeight="true" outlineLevel="0" collapsed="false">
      <c r="A32" s="8" t="str">
        <f aca="false">Tasks!A8</f>
        <v>T3 Complex analysis</v>
      </c>
      <c r="B32" s="8" t="str">
        <f aca="false">Prices!A14</f>
        <v>Google</v>
      </c>
      <c r="C32" s="8" t="str">
        <f aca="false">Prices!B14</f>
        <v>Flagship</v>
      </c>
      <c r="D32" s="8" t="str">
        <f aca="false">Prices!C14</f>
        <v>Gemini 4 Argon</v>
      </c>
      <c r="E32" s="53" t="n">
        <f aca="false">Tasks!C8*Prices!O14</f>
        <v>40000</v>
      </c>
      <c r="F32" s="53" t="n">
        <f aca="false">Tasks!D8*Prices!O14*Prices!P14</f>
        <v>6000</v>
      </c>
      <c r="G32" s="10" t="n">
        <f aca="false">(E32*Prices!J14+F32*Prices!K14)/1000000</f>
        <v>0.14</v>
      </c>
      <c r="H32" s="10" t="n">
        <f aca="false">(E32*(1-Tasks!E8)*Prices!J14+E32*Tasks!E8*(Tasks!F8*Prices!L14+(1-Tasks!F8)*Prices!J14*Prices!M14)+F32*Prices!K14)/1000000</f>
        <v>0.10276</v>
      </c>
      <c r="I32" s="10" t="n">
        <f aca="false">G32*(1-Prices!N14)</f>
        <v>0.07</v>
      </c>
      <c r="J32" s="10" t="n">
        <f aca="false">H32*(1-Prices!N14)</f>
        <v>0.05138</v>
      </c>
      <c r="K32" s="10" t="n">
        <f aca="false">IF(Tasks!H8="Y",MIN(G32:J32),MIN(G32:H32))</f>
        <v>0.10276</v>
      </c>
      <c r="L32" s="54" t="n">
        <f aca="false">Quality!F14</f>
        <v>0.88</v>
      </c>
      <c r="M32" s="15" t="str">
        <f aca="false">IF(L32&gt;=Tasks!J8,"Yes","No")</f>
        <v>Yes</v>
      </c>
      <c r="N32" s="10" t="n">
        <f aca="false">IF(L32&gt;0,K32/L32,0)</f>
        <v>0.116772727272727</v>
      </c>
      <c r="O32" s="10" t="n">
        <f aca="false">K32+(1-L32)*Tasks!I8</f>
        <v>4.90276</v>
      </c>
      <c r="P32" s="55" t="n">
        <f aca="false">IF(M32="Yes",O32,1000000000)</f>
        <v>4.90276</v>
      </c>
      <c r="Q32" s="13" t="n">
        <f aca="false">K32*Tasks!G8</f>
        <v>102.76</v>
      </c>
      <c r="R32" s="13" t="n">
        <f aca="false">O32*Tasks!G8</f>
        <v>4902.76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2026-10-20T07:03:21Z</dcterms:created>
  <dc:creator>openpyxl</dc:creator>
  <dc:description/>
  <dc:language>en-US</dc:language>
  <cp:lastModifiedBy/>
  <dcterms:modified xsi:type="dcterms:W3CDTF">2026-10-22T02:43:17Z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